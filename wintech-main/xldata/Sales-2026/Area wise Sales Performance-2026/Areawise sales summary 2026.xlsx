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05217886-A4DA-462D-9065-41E19A8B90F6}" xr6:coauthVersionLast="47" xr6:coauthVersionMax="47" xr10:uidLastSave="{00000000-0000-0000-0000-000000000000}"/>
  <bookViews>
    <workbookView xWindow="-120" yWindow="-120" windowWidth="20730" windowHeight="11040" tabRatio="859" firstSheet="1" activeTab="11" xr2:uid="{00000000-000D-0000-FFFF-FFFF00000000}"/>
  </bookViews>
  <sheets>
    <sheet name="Zonal Sales Summary " sheetId="15" r:id="rId1"/>
    <sheet name="Magpie-1" sheetId="1" r:id="rId2"/>
    <sheet name="Magpie-2" sheetId="2" r:id="rId3"/>
    <sheet name="Magpie-3" sheetId="11" r:id="rId4"/>
    <sheet name="Magpie-4" sheetId="13" r:id="rId5"/>
    <sheet name="Kingfisher-1" sheetId="5" r:id="rId6"/>
    <sheet name="Kingfisher- 2" sheetId="7" r:id="rId7"/>
    <sheet name="Kingfisher-3" sheetId="6" r:id="rId8"/>
    <sheet name="Kingfisher-4" sheetId="12" r:id="rId9"/>
    <sheet name="Bogra 1" sheetId="14" r:id="rId10"/>
    <sheet name="Bogra 2" sheetId="4" r:id="rId11"/>
    <sheet name="Bakra" sheetId="10" r:id="rId12"/>
    <sheet name="Fulpur" sheetId="9" r:id="rId13"/>
    <sheet name="Feni" sheetId="3" r:id="rId14"/>
  </sheets>
  <calcPr calcId="181029"/>
</workbook>
</file>

<file path=xl/calcChain.xml><?xml version="1.0" encoding="utf-8"?>
<calcChain xmlns="http://schemas.openxmlformats.org/spreadsheetml/2006/main">
  <c r="D26" i="10" l="1"/>
  <c r="K20" i="10"/>
  <c r="K12" i="10"/>
  <c r="D24" i="10"/>
  <c r="D22" i="10"/>
  <c r="J20" i="9"/>
  <c r="H20" i="9"/>
  <c r="D24" i="9" s="1"/>
  <c r="G20" i="9"/>
  <c r="F20" i="9"/>
  <c r="E20" i="9"/>
  <c r="D20" i="9"/>
  <c r="D23" i="9"/>
  <c r="D22" i="9"/>
  <c r="C20" i="9"/>
  <c r="D24" i="13"/>
  <c r="D23" i="13"/>
  <c r="D22" i="13"/>
  <c r="C20" i="13"/>
  <c r="K20" i="13"/>
  <c r="J20" i="13"/>
  <c r="H20" i="13"/>
  <c r="G20" i="13"/>
  <c r="D20" i="13"/>
  <c r="B20" i="11"/>
  <c r="C24" i="11"/>
  <c r="I20" i="11"/>
  <c r="H20" i="11"/>
  <c r="G20" i="11"/>
  <c r="E20" i="11"/>
  <c r="D20" i="11"/>
  <c r="C20" i="11"/>
  <c r="K20" i="2"/>
  <c r="B20" i="2"/>
  <c r="D23" i="2" s="1"/>
  <c r="D24" i="2"/>
  <c r="D22" i="2"/>
  <c r="C20" i="2"/>
  <c r="J20" i="2"/>
  <c r="D24" i="1"/>
  <c r="D23" i="1"/>
  <c r="D22" i="1"/>
  <c r="K20" i="1"/>
  <c r="G20" i="1"/>
  <c r="F20" i="1"/>
  <c r="E20" i="1"/>
  <c r="D20" i="1"/>
  <c r="C20" i="1"/>
  <c r="J20" i="4"/>
  <c r="H20" i="4"/>
  <c r="D24" i="4" s="1"/>
  <c r="G20" i="4"/>
  <c r="F20" i="4"/>
  <c r="D22" i="4" s="1"/>
  <c r="E20" i="4"/>
  <c r="D20" i="4"/>
  <c r="D23" i="4"/>
  <c r="C20" i="4"/>
  <c r="K20" i="14"/>
  <c r="D24" i="14"/>
  <c r="D23" i="14"/>
  <c r="D22" i="14"/>
  <c r="L20" i="14"/>
  <c r="C20" i="14"/>
  <c r="J20" i="14"/>
  <c r="L8" i="5"/>
  <c r="L20" i="5"/>
  <c r="L11" i="5"/>
  <c r="L20" i="7"/>
  <c r="D24" i="7"/>
  <c r="L20" i="12"/>
  <c r="L8" i="12"/>
  <c r="J20" i="12"/>
  <c r="H20" i="12"/>
  <c r="D24" i="12" s="1"/>
  <c r="G20" i="12"/>
  <c r="F20" i="12"/>
  <c r="D22" i="12" s="1"/>
  <c r="D20" i="12"/>
  <c r="C20" i="12"/>
  <c r="D23" i="12"/>
  <c r="B20" i="12"/>
  <c r="D24" i="6"/>
  <c r="D23" i="6"/>
  <c r="H20" i="6"/>
  <c r="G20" i="6"/>
  <c r="E20" i="6"/>
  <c r="D20" i="6"/>
  <c r="C20" i="6"/>
  <c r="L14" i="6"/>
  <c r="L15" i="6"/>
  <c r="L16" i="6"/>
  <c r="L17" i="6"/>
  <c r="L18" i="6"/>
  <c r="L19" i="6"/>
  <c r="L13" i="6"/>
  <c r="H20" i="7"/>
  <c r="D23" i="7"/>
  <c r="D22" i="7"/>
  <c r="K20" i="7"/>
  <c r="J20" i="7"/>
  <c r="C20" i="7"/>
  <c r="B20" i="7"/>
  <c r="L19" i="5"/>
  <c r="J20" i="5"/>
  <c r="C20" i="5"/>
  <c r="K20" i="5"/>
  <c r="D22" i="5"/>
  <c r="D24" i="5"/>
  <c r="D23" i="5"/>
  <c r="B20" i="5"/>
  <c r="C20" i="15"/>
  <c r="B20" i="10" l="1"/>
  <c r="D23" i="10" s="1"/>
  <c r="C20" i="10"/>
  <c r="G10" i="15"/>
  <c r="D20" i="14"/>
  <c r="I19" i="15" l="1"/>
  <c r="I18" i="15"/>
  <c r="J15" i="15"/>
  <c r="J14" i="15"/>
  <c r="J13" i="15"/>
  <c r="J12" i="15"/>
  <c r="J11" i="15"/>
  <c r="I7" i="15" l="1"/>
  <c r="G19" i="15" l="1"/>
  <c r="H19" i="15"/>
  <c r="D9" i="15" l="1"/>
  <c r="E9" i="15"/>
  <c r="G9" i="15"/>
  <c r="I9" i="15"/>
  <c r="D10" i="15"/>
  <c r="E20" i="13"/>
  <c r="E10" i="15" s="1"/>
  <c r="H10" i="15"/>
  <c r="I20" i="13"/>
  <c r="I10" i="15" s="1"/>
  <c r="I20" i="7"/>
  <c r="I12" i="15" s="1"/>
  <c r="H12" i="15"/>
  <c r="G20" i="7"/>
  <c r="G12" i="15" s="1"/>
  <c r="E20" i="7"/>
  <c r="E12" i="15" s="1"/>
  <c r="D20" i="7"/>
  <c r="D12" i="15" s="1"/>
  <c r="I20" i="6"/>
  <c r="I13" i="15" s="1"/>
  <c r="H13" i="15"/>
  <c r="G13" i="15"/>
  <c r="E13" i="15"/>
  <c r="D13" i="15"/>
  <c r="I20" i="12"/>
  <c r="I14" i="15" s="1"/>
  <c r="H14" i="15"/>
  <c r="G14" i="15"/>
  <c r="E20" i="12"/>
  <c r="E14" i="15" s="1"/>
  <c r="D14" i="15"/>
  <c r="I20" i="14"/>
  <c r="I16" i="15" s="1"/>
  <c r="H20" i="14"/>
  <c r="H16" i="15" s="1"/>
  <c r="G20" i="14"/>
  <c r="G16" i="15" s="1"/>
  <c r="E20" i="14"/>
  <c r="E16" i="15" s="1"/>
  <c r="D16" i="15"/>
  <c r="I20" i="4"/>
  <c r="I17" i="15" s="1"/>
  <c r="H17" i="15"/>
  <c r="G17" i="15"/>
  <c r="E17" i="15"/>
  <c r="D17" i="15"/>
  <c r="I20" i="3"/>
  <c r="I15" i="15" s="1"/>
  <c r="H20" i="3"/>
  <c r="H15" i="15" s="1"/>
  <c r="G20" i="3"/>
  <c r="G15" i="15" s="1"/>
  <c r="E20" i="3"/>
  <c r="E15" i="15" s="1"/>
  <c r="D20" i="3"/>
  <c r="D15" i="15" s="1"/>
  <c r="H20" i="10"/>
  <c r="H18" i="15" s="1"/>
  <c r="G20" i="10"/>
  <c r="G18" i="15" s="1"/>
  <c r="E20" i="10"/>
  <c r="E18" i="15" s="1"/>
  <c r="D20" i="10"/>
  <c r="D18" i="15" s="1"/>
  <c r="I20" i="2"/>
  <c r="I8" i="15" s="1"/>
  <c r="H20" i="2"/>
  <c r="H8" i="15" s="1"/>
  <c r="G20" i="2"/>
  <c r="G8" i="15" s="1"/>
  <c r="E20" i="2"/>
  <c r="E8" i="15" s="1"/>
  <c r="D20" i="2"/>
  <c r="D8" i="15" s="1"/>
  <c r="H9" i="15" l="1"/>
  <c r="F9" i="9"/>
  <c r="J9" i="13"/>
  <c r="J10" i="13"/>
  <c r="J10" i="15" s="1"/>
  <c r="J11" i="13"/>
  <c r="J12" i="13"/>
  <c r="J13" i="13"/>
  <c r="J14" i="13"/>
  <c r="J15" i="13"/>
  <c r="J16" i="13"/>
  <c r="J17" i="13"/>
  <c r="J18" i="13"/>
  <c r="J19" i="13"/>
  <c r="J8" i="13"/>
  <c r="K8" i="13"/>
  <c r="K8" i="1"/>
  <c r="B20" i="9"/>
  <c r="B19" i="15" s="1"/>
  <c r="B20" i="3"/>
  <c r="B15" i="15" s="1"/>
  <c r="B20" i="4"/>
  <c r="B17" i="15" s="1"/>
  <c r="B20" i="14"/>
  <c r="B16" i="15" s="1"/>
  <c r="B14" i="15"/>
  <c r="B20" i="6"/>
  <c r="B13" i="15" s="1"/>
  <c r="F8" i="6"/>
  <c r="J8" i="6"/>
  <c r="F9" i="6"/>
  <c r="J9" i="6"/>
  <c r="K9" i="6"/>
  <c r="F10" i="6"/>
  <c r="J10" i="6"/>
  <c r="K10" i="6"/>
  <c r="F11" i="6"/>
  <c r="K11" i="6" s="1"/>
  <c r="J11" i="6"/>
  <c r="F12" i="6"/>
  <c r="K12" i="6" s="1"/>
  <c r="J12" i="6"/>
  <c r="J20" i="6" s="1"/>
  <c r="J13" i="6"/>
  <c r="K13" i="6"/>
  <c r="J14" i="6"/>
  <c r="K14" i="6"/>
  <c r="J15" i="6"/>
  <c r="K15" i="6"/>
  <c r="J16" i="6"/>
  <c r="K16" i="6"/>
  <c r="J17" i="6"/>
  <c r="K17" i="6"/>
  <c r="J18" i="6"/>
  <c r="K18" i="6"/>
  <c r="J19" i="6"/>
  <c r="K19" i="6"/>
  <c r="B12" i="15"/>
  <c r="B20" i="13"/>
  <c r="C23" i="11"/>
  <c r="B8" i="15"/>
  <c r="J8" i="9"/>
  <c r="F8" i="9"/>
  <c r="F10" i="9"/>
  <c r="F11" i="9"/>
  <c r="F12" i="9"/>
  <c r="F13" i="9"/>
  <c r="F14" i="9"/>
  <c r="F15" i="9"/>
  <c r="F16" i="9"/>
  <c r="F17" i="9"/>
  <c r="F18" i="9"/>
  <c r="F19" i="9"/>
  <c r="J9" i="10"/>
  <c r="J10" i="10"/>
  <c r="J18" i="15" s="1"/>
  <c r="J11" i="10"/>
  <c r="J12" i="10"/>
  <c r="J13" i="10"/>
  <c r="J14" i="10"/>
  <c r="J15" i="10"/>
  <c r="J16" i="10"/>
  <c r="J17" i="10"/>
  <c r="J18" i="10"/>
  <c r="J19" i="10"/>
  <c r="J8" i="10"/>
  <c r="F8" i="10"/>
  <c r="F8" i="3"/>
  <c r="F9" i="3"/>
  <c r="F10" i="3"/>
  <c r="F11" i="3"/>
  <c r="F12" i="3"/>
  <c r="F13" i="3"/>
  <c r="F15" i="3"/>
  <c r="F16" i="3"/>
  <c r="F17" i="3"/>
  <c r="F18" i="3"/>
  <c r="K18" i="3" s="1"/>
  <c r="F19" i="3"/>
  <c r="F8" i="4"/>
  <c r="F9" i="4"/>
  <c r="F10" i="4"/>
  <c r="F11" i="4"/>
  <c r="K11" i="4" s="1"/>
  <c r="F12" i="4"/>
  <c r="K12" i="4" s="1"/>
  <c r="F13" i="4"/>
  <c r="F8" i="14"/>
  <c r="K8" i="14" s="1"/>
  <c r="F9" i="14"/>
  <c r="K9" i="14" s="1"/>
  <c r="F10" i="14"/>
  <c r="K10" i="14" s="1"/>
  <c r="F11" i="14"/>
  <c r="K11" i="14" s="1"/>
  <c r="F12" i="14"/>
  <c r="F13" i="14"/>
  <c r="K13" i="14" s="1"/>
  <c r="J19" i="14"/>
  <c r="F19" i="14"/>
  <c r="J18" i="14"/>
  <c r="F18" i="14"/>
  <c r="K18" i="14" s="1"/>
  <c r="J17" i="14"/>
  <c r="F17" i="14"/>
  <c r="J16" i="14"/>
  <c r="F16" i="14"/>
  <c r="K16" i="14" s="1"/>
  <c r="J15" i="14"/>
  <c r="F15" i="14"/>
  <c r="J14" i="14"/>
  <c r="F14" i="14"/>
  <c r="J13" i="14"/>
  <c r="K12" i="14"/>
  <c r="J12" i="14"/>
  <c r="J11" i="14"/>
  <c r="J10" i="14"/>
  <c r="J16" i="15" s="1"/>
  <c r="J9" i="14"/>
  <c r="J8" i="14"/>
  <c r="J9" i="12"/>
  <c r="J10" i="12"/>
  <c r="J11" i="12"/>
  <c r="J12" i="12"/>
  <c r="J13" i="12"/>
  <c r="J14" i="12"/>
  <c r="J15" i="12"/>
  <c r="J16" i="12"/>
  <c r="J17" i="12"/>
  <c r="J18" i="12"/>
  <c r="J19" i="12"/>
  <c r="J8" i="12"/>
  <c r="F8" i="12"/>
  <c r="K8" i="12" s="1"/>
  <c r="F9" i="12"/>
  <c r="K9" i="12" s="1"/>
  <c r="F10" i="12"/>
  <c r="F11" i="12"/>
  <c r="K11" i="12" s="1"/>
  <c r="F12" i="12"/>
  <c r="K12" i="12" s="1"/>
  <c r="F13" i="12"/>
  <c r="K10" i="12"/>
  <c r="J8" i="5"/>
  <c r="J9" i="5"/>
  <c r="J10" i="5"/>
  <c r="J11" i="5"/>
  <c r="J12" i="5"/>
  <c r="J13" i="5"/>
  <c r="J14" i="5"/>
  <c r="J15" i="5"/>
  <c r="J16" i="5"/>
  <c r="J17" i="5"/>
  <c r="J18" i="5"/>
  <c r="J19" i="5"/>
  <c r="K13" i="13"/>
  <c r="K14" i="13"/>
  <c r="K15" i="13"/>
  <c r="K16" i="13"/>
  <c r="F8" i="13"/>
  <c r="F9" i="13"/>
  <c r="K9" i="13" s="1"/>
  <c r="F10" i="13"/>
  <c r="K10" i="13" s="1"/>
  <c r="F11" i="13"/>
  <c r="K11" i="13" s="1"/>
  <c r="F12" i="13"/>
  <c r="F20" i="13" s="1"/>
  <c r="F13" i="13"/>
  <c r="F14" i="13"/>
  <c r="F15" i="13"/>
  <c r="F16" i="13"/>
  <c r="F9" i="2"/>
  <c r="F10" i="2"/>
  <c r="F11" i="2"/>
  <c r="F12" i="2"/>
  <c r="F13" i="2"/>
  <c r="F14" i="2"/>
  <c r="F15" i="2"/>
  <c r="F16" i="2"/>
  <c r="F17" i="2"/>
  <c r="F18" i="2"/>
  <c r="F19" i="2"/>
  <c r="F8" i="2"/>
  <c r="I20" i="5"/>
  <c r="I11" i="15" s="1"/>
  <c r="I20" i="15" s="1"/>
  <c r="F19" i="13"/>
  <c r="K19" i="13" s="1"/>
  <c r="J19" i="2"/>
  <c r="J19" i="1"/>
  <c r="F19" i="1"/>
  <c r="K19" i="1" s="1"/>
  <c r="F18" i="13"/>
  <c r="K18" i="13" s="1"/>
  <c r="F17" i="13"/>
  <c r="K17" i="13" s="1"/>
  <c r="J18" i="3"/>
  <c r="J19" i="3"/>
  <c r="K9" i="4"/>
  <c r="K10" i="4"/>
  <c r="K13" i="4"/>
  <c r="J9" i="4"/>
  <c r="J10" i="4"/>
  <c r="J17" i="15" s="1"/>
  <c r="J11" i="4"/>
  <c r="J12" i="4"/>
  <c r="J13" i="4"/>
  <c r="J14" i="4"/>
  <c r="J15" i="4"/>
  <c r="J16" i="4"/>
  <c r="J17" i="4"/>
  <c r="J18" i="4"/>
  <c r="J19" i="4"/>
  <c r="J8" i="4"/>
  <c r="K8" i="6" l="1"/>
  <c r="F20" i="6"/>
  <c r="K12" i="13"/>
  <c r="B10" i="15"/>
  <c r="B9" i="15"/>
  <c r="F20" i="2"/>
  <c r="F8" i="15" s="1"/>
  <c r="K8" i="15" s="1"/>
  <c r="B18" i="15"/>
  <c r="F20" i="14"/>
  <c r="K14" i="14"/>
  <c r="K15" i="14"/>
  <c r="K17" i="14"/>
  <c r="K19" i="14"/>
  <c r="K13" i="12"/>
  <c r="J18" i="2"/>
  <c r="J18" i="1"/>
  <c r="F18" i="1"/>
  <c r="J17" i="9"/>
  <c r="F9" i="11"/>
  <c r="K9" i="11" s="1"/>
  <c r="F10" i="11"/>
  <c r="F11" i="11"/>
  <c r="K11" i="11" s="1"/>
  <c r="F12" i="11"/>
  <c r="K12" i="11" s="1"/>
  <c r="F13" i="11"/>
  <c r="F14" i="11"/>
  <c r="F15" i="11"/>
  <c r="K15" i="11" s="1"/>
  <c r="F16" i="11"/>
  <c r="K16" i="11" s="1"/>
  <c r="F17" i="11"/>
  <c r="F18" i="11"/>
  <c r="F19" i="11"/>
  <c r="F8" i="11"/>
  <c r="K13" i="11"/>
  <c r="K14" i="11"/>
  <c r="J9" i="11"/>
  <c r="J10" i="11"/>
  <c r="J9" i="15" s="1"/>
  <c r="J11" i="11"/>
  <c r="J12" i="11"/>
  <c r="J20" i="11" s="1"/>
  <c r="J13" i="11"/>
  <c r="J14" i="11"/>
  <c r="J15" i="11"/>
  <c r="J16" i="11"/>
  <c r="J17" i="11"/>
  <c r="J18" i="11"/>
  <c r="J19" i="11"/>
  <c r="J8" i="11"/>
  <c r="F17" i="1"/>
  <c r="F14" i="12"/>
  <c r="K14" i="12" s="1"/>
  <c r="J17" i="7"/>
  <c r="J18" i="7"/>
  <c r="J19" i="7"/>
  <c r="J9" i="7"/>
  <c r="J10" i="7"/>
  <c r="J11" i="7"/>
  <c r="J12" i="7"/>
  <c r="J13" i="7"/>
  <c r="J14" i="7"/>
  <c r="J15" i="7"/>
  <c r="J16" i="7"/>
  <c r="F9" i="7"/>
  <c r="K9" i="7" s="1"/>
  <c r="F10" i="7"/>
  <c r="K10" i="7" s="1"/>
  <c r="F11" i="7"/>
  <c r="K11" i="7" s="1"/>
  <c r="F12" i="7"/>
  <c r="K12" i="7" s="1"/>
  <c r="F13" i="7"/>
  <c r="K13" i="7" s="1"/>
  <c r="F14" i="7"/>
  <c r="K14" i="7" s="1"/>
  <c r="F15" i="7"/>
  <c r="K15" i="7" s="1"/>
  <c r="F16" i="7"/>
  <c r="K16" i="7" s="1"/>
  <c r="F17" i="7"/>
  <c r="F18" i="7"/>
  <c r="K18" i="7" s="1"/>
  <c r="F19" i="7"/>
  <c r="F8" i="7"/>
  <c r="K8" i="7" s="1"/>
  <c r="F9" i="5"/>
  <c r="F10" i="5"/>
  <c r="K10" i="5" s="1"/>
  <c r="F11" i="5"/>
  <c r="K11" i="5" s="1"/>
  <c r="F12" i="5"/>
  <c r="K12" i="5" s="1"/>
  <c r="F13" i="5"/>
  <c r="K13" i="5" s="1"/>
  <c r="F14" i="5"/>
  <c r="K14" i="5" s="1"/>
  <c r="F15" i="5"/>
  <c r="F16" i="5"/>
  <c r="F17" i="5"/>
  <c r="F18" i="5"/>
  <c r="K18" i="5" s="1"/>
  <c r="F19" i="5"/>
  <c r="F8" i="5"/>
  <c r="K8" i="5" s="1"/>
  <c r="K9" i="2"/>
  <c r="K11" i="2"/>
  <c r="K12" i="2"/>
  <c r="K13" i="2"/>
  <c r="K18" i="2"/>
  <c r="K19" i="2"/>
  <c r="J9" i="2"/>
  <c r="J10" i="2"/>
  <c r="J8" i="15" s="1"/>
  <c r="J11" i="2"/>
  <c r="J12" i="2"/>
  <c r="J13" i="2"/>
  <c r="J14" i="2"/>
  <c r="J15" i="2"/>
  <c r="J16" i="2"/>
  <c r="J17" i="2"/>
  <c r="H20" i="1"/>
  <c r="H7" i="15" s="1"/>
  <c r="G7" i="15"/>
  <c r="E7" i="15"/>
  <c r="D7" i="15"/>
  <c r="J9" i="1"/>
  <c r="J10" i="1"/>
  <c r="J7" i="15" s="1"/>
  <c r="J11" i="1"/>
  <c r="J12" i="1"/>
  <c r="J20" i="1" s="1"/>
  <c r="J13" i="1"/>
  <c r="J14" i="1"/>
  <c r="J15" i="1"/>
  <c r="J16" i="1"/>
  <c r="J8" i="1"/>
  <c r="E19" i="15"/>
  <c r="J9" i="9"/>
  <c r="J10" i="9"/>
  <c r="J19" i="15" s="1"/>
  <c r="J11" i="9"/>
  <c r="J12" i="9"/>
  <c r="J13" i="9"/>
  <c r="J14" i="9"/>
  <c r="J15" i="9"/>
  <c r="J16" i="9"/>
  <c r="J18" i="9"/>
  <c r="J19" i="9"/>
  <c r="K10" i="9"/>
  <c r="K11" i="9"/>
  <c r="K13" i="9"/>
  <c r="K15" i="9"/>
  <c r="J15" i="3"/>
  <c r="J16" i="3"/>
  <c r="J17" i="3"/>
  <c r="K9" i="3"/>
  <c r="K10" i="3"/>
  <c r="K11" i="3"/>
  <c r="K12" i="3"/>
  <c r="K13" i="3"/>
  <c r="K19" i="3"/>
  <c r="K8" i="3"/>
  <c r="F15" i="12"/>
  <c r="K15" i="12" s="1"/>
  <c r="F16" i="12"/>
  <c r="K16" i="12" s="1"/>
  <c r="F17" i="12"/>
  <c r="K17" i="12" s="1"/>
  <c r="F18" i="12"/>
  <c r="K18" i="12" s="1"/>
  <c r="F19" i="12"/>
  <c r="F16" i="10"/>
  <c r="K16" i="10" s="1"/>
  <c r="F17" i="10"/>
  <c r="K17" i="10" s="1"/>
  <c r="F18" i="10"/>
  <c r="K18" i="10" s="1"/>
  <c r="F19" i="10"/>
  <c r="F10" i="10"/>
  <c r="K10" i="10" s="1"/>
  <c r="F11" i="10"/>
  <c r="K11" i="10" s="1"/>
  <c r="F12" i="10"/>
  <c r="F13" i="10"/>
  <c r="K13" i="10" s="1"/>
  <c r="F14" i="10"/>
  <c r="K14" i="10" s="1"/>
  <c r="F15" i="10"/>
  <c r="K15" i="10" s="1"/>
  <c r="F9" i="10"/>
  <c r="K9" i="10" s="1"/>
  <c r="K15" i="2"/>
  <c r="F16" i="1"/>
  <c r="F9" i="1"/>
  <c r="K9" i="1" s="1"/>
  <c r="F10" i="1"/>
  <c r="K10" i="1" s="1"/>
  <c r="F11" i="1"/>
  <c r="K11" i="1" s="1"/>
  <c r="F12" i="1"/>
  <c r="F13" i="1"/>
  <c r="F14" i="1"/>
  <c r="K14" i="1" s="1"/>
  <c r="F15" i="1"/>
  <c r="K15" i="1" s="1"/>
  <c r="K12" i="1"/>
  <c r="K16" i="1"/>
  <c r="K17" i="1"/>
  <c r="K16" i="9"/>
  <c r="K18" i="9"/>
  <c r="K19" i="9"/>
  <c r="K14" i="9"/>
  <c r="F14" i="3"/>
  <c r="F15" i="4"/>
  <c r="K15" i="4" s="1"/>
  <c r="F16" i="4"/>
  <c r="K16" i="4" s="1"/>
  <c r="F17" i="4"/>
  <c r="K17" i="4" s="1"/>
  <c r="F18" i="4"/>
  <c r="F19" i="4"/>
  <c r="K19" i="4" s="1"/>
  <c r="F14" i="4"/>
  <c r="K14" i="4" s="1"/>
  <c r="K16" i="2"/>
  <c r="K17" i="2"/>
  <c r="K14" i="2"/>
  <c r="J20" i="15" l="1"/>
  <c r="K20" i="6"/>
  <c r="D22" i="6"/>
  <c r="E20" i="15"/>
  <c r="F20" i="11"/>
  <c r="C22" i="11" s="1"/>
  <c r="L17" i="2"/>
  <c r="L19" i="2"/>
  <c r="L8" i="2"/>
  <c r="L18" i="2"/>
  <c r="L8" i="13"/>
  <c r="F10" i="15"/>
  <c r="K10" i="15" s="1"/>
  <c r="L11" i="14"/>
  <c r="F16" i="15"/>
  <c r="K10" i="11"/>
  <c r="L8" i="14"/>
  <c r="L9" i="14"/>
  <c r="L10" i="14"/>
  <c r="L14" i="14"/>
  <c r="L12" i="14"/>
  <c r="L13" i="14"/>
  <c r="L18" i="14"/>
  <c r="L16" i="14"/>
  <c r="L15" i="14"/>
  <c r="L17" i="14"/>
  <c r="K19" i="10"/>
  <c r="K17" i="3"/>
  <c r="K16" i="3"/>
  <c r="K15" i="3"/>
  <c r="K14" i="3"/>
  <c r="L19" i="14"/>
  <c r="F20" i="7"/>
  <c r="K17" i="5"/>
  <c r="K9" i="5"/>
  <c r="K16" i="5"/>
  <c r="K19" i="5"/>
  <c r="K15" i="5"/>
  <c r="L9" i="13"/>
  <c r="L11" i="13"/>
  <c r="L10" i="13"/>
  <c r="L16" i="13"/>
  <c r="L14" i="13"/>
  <c r="L13" i="13"/>
  <c r="L15" i="13"/>
  <c r="L12" i="13"/>
  <c r="K18" i="11"/>
  <c r="K17" i="11"/>
  <c r="K19" i="11"/>
  <c r="K18" i="1"/>
  <c r="K19" i="12"/>
  <c r="F14" i="15"/>
  <c r="K14" i="15" s="1"/>
  <c r="K19" i="7"/>
  <c r="F20" i="5"/>
  <c r="L19" i="13"/>
  <c r="L18" i="13"/>
  <c r="L17" i="13"/>
  <c r="K18" i="4"/>
  <c r="K17" i="9"/>
  <c r="K17" i="7"/>
  <c r="K20" i="12"/>
  <c r="K13" i="1"/>
  <c r="K12" i="9"/>
  <c r="K9" i="9"/>
  <c r="K8" i="11"/>
  <c r="K20" i="11" s="1"/>
  <c r="K10" i="2"/>
  <c r="F8" i="1"/>
  <c r="F20" i="10"/>
  <c r="K8" i="10"/>
  <c r="J12" i="3"/>
  <c r="D19" i="15"/>
  <c r="H20" i="5"/>
  <c r="G20" i="5"/>
  <c r="G11" i="15" s="1"/>
  <c r="G20" i="15" s="1"/>
  <c r="E20" i="5"/>
  <c r="E11" i="15" s="1"/>
  <c r="D20" i="5"/>
  <c r="D11" i="15" s="1"/>
  <c r="B20" i="1"/>
  <c r="D24" i="3"/>
  <c r="F20" i="3"/>
  <c r="D23" i="3"/>
  <c r="J17" i="1"/>
  <c r="K8" i="9"/>
  <c r="J8" i="7"/>
  <c r="D20" i="15" l="1"/>
  <c r="F9" i="15"/>
  <c r="K9" i="15" s="1"/>
  <c r="B11" i="15"/>
  <c r="B7" i="15"/>
  <c r="L13" i="7"/>
  <c r="F12" i="15"/>
  <c r="K12" i="15" s="1"/>
  <c r="H11" i="15"/>
  <c r="H20" i="15" s="1"/>
  <c r="F11" i="15"/>
  <c r="L15" i="3"/>
  <c r="F15" i="15"/>
  <c r="K15" i="15" s="1"/>
  <c r="D22" i="3"/>
  <c r="F18" i="15"/>
  <c r="K18" i="15" s="1"/>
  <c r="K16" i="15"/>
  <c r="L12" i="7"/>
  <c r="L18" i="7"/>
  <c r="L16" i="7"/>
  <c r="L19" i="7"/>
  <c r="L15" i="7"/>
  <c r="L17" i="7"/>
  <c r="L14" i="7"/>
  <c r="F7" i="15"/>
  <c r="F19" i="15"/>
  <c r="K19" i="15" s="1"/>
  <c r="L19" i="10"/>
  <c r="L9" i="3"/>
  <c r="L13" i="3"/>
  <c r="L8" i="3"/>
  <c r="L12" i="3"/>
  <c r="L11" i="3"/>
  <c r="L10" i="3"/>
  <c r="L18" i="3"/>
  <c r="L19" i="3"/>
  <c r="L16" i="3"/>
  <c r="L17" i="3"/>
  <c r="L14" i="3"/>
  <c r="L9" i="12"/>
  <c r="L12" i="12"/>
  <c r="L11" i="12"/>
  <c r="L14" i="12"/>
  <c r="L10" i="12"/>
  <c r="L13" i="12"/>
  <c r="F13" i="15"/>
  <c r="K13" i="15" s="1"/>
  <c r="L13" i="5"/>
  <c r="L10" i="5"/>
  <c r="L18" i="5"/>
  <c r="L14" i="5"/>
  <c r="L15" i="5"/>
  <c r="L12" i="5"/>
  <c r="L16" i="5"/>
  <c r="L9" i="5"/>
  <c r="L17" i="5"/>
  <c r="L19" i="11"/>
  <c r="L17" i="11"/>
  <c r="L18" i="11"/>
  <c r="L16" i="2"/>
  <c r="L18" i="12"/>
  <c r="L18" i="10"/>
  <c r="L17" i="12"/>
  <c r="L19" i="12"/>
  <c r="L17" i="10"/>
  <c r="L13" i="10"/>
  <c r="K20" i="3"/>
  <c r="L15" i="12"/>
  <c r="L16" i="12"/>
  <c r="L15" i="2"/>
  <c r="L11" i="2"/>
  <c r="L9" i="2"/>
  <c r="L13" i="2"/>
  <c r="L12" i="2"/>
  <c r="L10" i="2"/>
  <c r="L14" i="2"/>
  <c r="L8" i="10"/>
  <c r="L8" i="7"/>
  <c r="L9" i="10"/>
  <c r="L10" i="10"/>
  <c r="L11" i="10"/>
  <c r="L12" i="10"/>
  <c r="L9" i="7"/>
  <c r="L10" i="7"/>
  <c r="L11" i="7"/>
  <c r="L16" i="10"/>
  <c r="L15" i="10"/>
  <c r="L14" i="10"/>
  <c r="K20" i="9"/>
  <c r="F17" i="15"/>
  <c r="K17" i="15" s="1"/>
  <c r="K8" i="4"/>
  <c r="B20" i="15" l="1"/>
  <c r="F20" i="15"/>
  <c r="K11" i="15"/>
  <c r="L8" i="1"/>
  <c r="K7" i="15"/>
  <c r="L18" i="1"/>
  <c r="L19" i="1"/>
  <c r="L10" i="6"/>
  <c r="L12" i="6"/>
  <c r="L8" i="6"/>
  <c r="L11" i="6"/>
  <c r="L9" i="6"/>
  <c r="L17" i="9"/>
  <c r="L10" i="9"/>
  <c r="L18" i="9"/>
  <c r="L8" i="9"/>
  <c r="L15" i="9"/>
  <c r="L19" i="9"/>
  <c r="L16" i="9"/>
  <c r="L14" i="9"/>
  <c r="L11" i="9"/>
  <c r="L13" i="9"/>
  <c r="L12" i="9"/>
  <c r="L9" i="9"/>
  <c r="K20" i="4"/>
  <c r="L19" i="4"/>
  <c r="L18" i="4"/>
  <c r="L13" i="4"/>
  <c r="L15" i="4"/>
  <c r="L14" i="4"/>
  <c r="L17" i="4"/>
  <c r="L16" i="4"/>
  <c r="L15" i="11"/>
  <c r="L14" i="11"/>
  <c r="L13" i="11"/>
  <c r="L9" i="11"/>
  <c r="L12" i="11"/>
  <c r="L11" i="11"/>
  <c r="L10" i="11"/>
  <c r="L16" i="11"/>
  <c r="L8" i="11"/>
  <c r="L9" i="1"/>
  <c r="L12" i="1"/>
  <c r="L11" i="1"/>
  <c r="L10" i="1"/>
  <c r="L13" i="1"/>
  <c r="L11" i="4"/>
  <c r="L9" i="4"/>
  <c r="L12" i="4"/>
  <c r="L10" i="4"/>
  <c r="L8" i="4"/>
  <c r="J14" i="3"/>
  <c r="J13" i="3"/>
  <c r="J11" i="3"/>
  <c r="J10" i="3"/>
  <c r="J9" i="3"/>
  <c r="J8" i="3"/>
  <c r="L20" i="6" l="1"/>
  <c r="K20" i="15"/>
  <c r="L20" i="4"/>
  <c r="L16" i="15"/>
  <c r="L15" i="15"/>
  <c r="L7" i="15"/>
  <c r="L13" i="15"/>
  <c r="L12" i="15"/>
  <c r="L8" i="15"/>
  <c r="L14" i="15"/>
  <c r="L10" i="15"/>
  <c r="L17" i="15"/>
  <c r="L19" i="15"/>
  <c r="L18" i="15"/>
  <c r="L9" i="15"/>
  <c r="L11" i="15"/>
  <c r="K8" i="2"/>
  <c r="J8" i="2"/>
  <c r="L20" i="15" l="1"/>
  <c r="L14" i="1"/>
  <c r="L15" i="1" l="1"/>
  <c r="L17" i="1"/>
  <c r="L16" i="1"/>
</calcChain>
</file>

<file path=xl/sharedStrings.xml><?xml version="1.0" encoding="utf-8"?>
<sst xmlns="http://schemas.openxmlformats.org/spreadsheetml/2006/main" count="544" uniqueCount="88">
  <si>
    <t>Area</t>
  </si>
  <si>
    <t>Target</t>
  </si>
  <si>
    <t>Previous Dues</t>
  </si>
  <si>
    <t>Total Sales</t>
  </si>
  <si>
    <t>Rtd. Goods</t>
  </si>
  <si>
    <t>Net Sales</t>
  </si>
  <si>
    <t>Commission</t>
  </si>
  <si>
    <t>Collection</t>
  </si>
  <si>
    <t>Bad Debt</t>
  </si>
  <si>
    <t>Total Dues</t>
  </si>
  <si>
    <t>Sales (%)</t>
  </si>
  <si>
    <t>Achievement(%)</t>
  </si>
  <si>
    <t>(Zonewise)</t>
  </si>
  <si>
    <t>Total-</t>
  </si>
  <si>
    <t>WINTECH AGRO BANGLADESH</t>
  </si>
  <si>
    <t>January</t>
  </si>
  <si>
    <t>February</t>
  </si>
  <si>
    <t>March</t>
  </si>
  <si>
    <t>April</t>
  </si>
  <si>
    <t xml:space="preserve">May </t>
  </si>
  <si>
    <t>June</t>
  </si>
  <si>
    <t>July</t>
  </si>
  <si>
    <t>August</t>
  </si>
  <si>
    <t>September</t>
  </si>
  <si>
    <t>October</t>
  </si>
  <si>
    <t>November</t>
  </si>
  <si>
    <t>December</t>
  </si>
  <si>
    <t>May</t>
  </si>
  <si>
    <t xml:space="preserve">Monthly Average Collection : </t>
  </si>
  <si>
    <t xml:space="preserve">Target Achievment : </t>
  </si>
  <si>
    <t>Monthly Average target :</t>
  </si>
  <si>
    <t xml:space="preserve">Monthly Average Sales  : </t>
  </si>
  <si>
    <t>Market Dues :</t>
  </si>
  <si>
    <t>Assigned Officer : Mr. Jayonta Das</t>
  </si>
  <si>
    <t>Assigned Officer: Mr. Shankor Kumar Das</t>
  </si>
  <si>
    <t xml:space="preserve"> Assigned Officer: Mr. Abdus Selim</t>
  </si>
  <si>
    <t xml:space="preserve">Assigned Officer : Mr. Abu Sayed </t>
  </si>
  <si>
    <t xml:space="preserve">Assigned Officer: Mr. Shaiem Akando </t>
  </si>
  <si>
    <t>Assigned Officer: Mr. Asraful Islam</t>
  </si>
  <si>
    <t xml:space="preserve">Assigned Officer: Mr. Pobitrow kumar Mondal </t>
  </si>
  <si>
    <t xml:space="preserve">Assigned Officer: Mr. Hijbul Bahar </t>
  </si>
  <si>
    <t xml:space="preserve">Assigned Officer: Mr. </t>
  </si>
  <si>
    <t xml:space="preserve">Assigned Officer: Mr. Nazrul Hoque </t>
  </si>
  <si>
    <t xml:space="preserve">Month </t>
  </si>
  <si>
    <t xml:space="preserve">Name </t>
  </si>
  <si>
    <t xml:space="preserve">Previous </t>
  </si>
  <si>
    <t>Dues</t>
  </si>
  <si>
    <t xml:space="preserve">Rtd. </t>
  </si>
  <si>
    <t>Goods</t>
  </si>
  <si>
    <t xml:space="preserve">Operation Sales </t>
  </si>
  <si>
    <t xml:space="preserve">Wintech Agro Bangladesh </t>
  </si>
  <si>
    <t>Reg. Address: Goalbari, Kaundia, Mirpur Bazar, Savar, Dhaka-1218.</t>
  </si>
  <si>
    <t>Total Sales Summary of Mymensingh (Magpie)-1</t>
  </si>
  <si>
    <t>Month of January to December -2026</t>
  </si>
  <si>
    <t>Total Sales Summary of Fulbaria zone (Magpie)-2</t>
  </si>
  <si>
    <t>Total Sales Summary of Muktagasa zone (Magpie)-3</t>
  </si>
  <si>
    <t xml:space="preserve">Assigned Officer : Mr. </t>
  </si>
  <si>
    <t>Total Sales Summary of Tarakanda zone (Magpie)-4</t>
  </si>
  <si>
    <t>Total Sales Summary of Cumilla zone (Kingfisher)-1</t>
  </si>
  <si>
    <t>Total Sales Summary of Cumilla zone (Kingfisher)-2</t>
  </si>
  <si>
    <t>Total Sales Summary of Cumilla zone (Kingfisher)-3</t>
  </si>
  <si>
    <t>Total Sales Summary of Cumilla zone (Kingfisher)-4</t>
  </si>
  <si>
    <t>Total Sales Summary of Bogra zone (Sparrow)-1</t>
  </si>
  <si>
    <t xml:space="preserve">Assigned Officer: Mr. Mojahidul Islam Shoaib </t>
  </si>
  <si>
    <t xml:space="preserve">Assigned Officer: Mr. Abu Hasnat </t>
  </si>
  <si>
    <t>Monthly Average Sales :</t>
  </si>
  <si>
    <t>Total Sales Summary of Bogra zone (Sparrow)-2</t>
  </si>
  <si>
    <t>Total Sales Summary of Cumilla zone (Penguin)-1</t>
  </si>
  <si>
    <t>Total Sales Summary of Bakra zone (Egle)-2</t>
  </si>
  <si>
    <t>Total Sales Summary of Phulpur zone (phulpur)-1</t>
  </si>
  <si>
    <t xml:space="preserve">Total Sales Summary of The Company </t>
  </si>
  <si>
    <t>Mymen-1</t>
  </si>
  <si>
    <t>Fulbaria</t>
  </si>
  <si>
    <t>Muktagasa</t>
  </si>
  <si>
    <t xml:space="preserve">Tarakanda </t>
  </si>
  <si>
    <t>Comilla-1</t>
  </si>
  <si>
    <t>Comilla-2</t>
  </si>
  <si>
    <t>Comilla-3</t>
  </si>
  <si>
    <t>Comilla-4H</t>
  </si>
  <si>
    <t>Feni</t>
  </si>
  <si>
    <t>Bogura</t>
  </si>
  <si>
    <t>Bogura 2</t>
  </si>
  <si>
    <t>Jessore 2</t>
  </si>
  <si>
    <t xml:space="preserve">Phulpur </t>
  </si>
  <si>
    <t xml:space="preserve"> Accounts Dept.</t>
  </si>
  <si>
    <t xml:space="preserve"> Checked by</t>
  </si>
  <si>
    <t>Manager Sales</t>
  </si>
  <si>
    <t>Month of Jan, Feb, Mar &amp; April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</si>
</sst>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4"/>
      <name val="Arial"/>
      <family val="2"/>
    </font>
    <font>
      <sz val="16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10"/>
      <name val="Arial"/>
      <family val="2"/>
    </font>
    <font>
      <u/>
      <sz val="16"/>
      <name val="Arial"/>
      <family val="2"/>
    </font>
    <font>
      <sz val="9"/>
      <name val="Arial"/>
      <family val="2"/>
    </font>
    <font>
      <sz val="11"/>
      <color theme="1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b/>
      <sz val="9"/>
      <color theme="2" tint="-0.89999084444715716"/>
      <name val="Arial"/>
      <family val="2"/>
    </font>
    <font>
      <sz val="9"/>
      <color theme="2" tint="-0.89999084444715716"/>
      <name val="Arial"/>
      <family val="2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sz val="12"/>
      <name val="Arial"/>
      <family val="2"/>
    </font>
    <font>
      <b/>
      <sz val="15"/>
      <color rgb="FF000000"/>
      <name val="Arial"/>
      <family val="2"/>
    </font>
    <font>
      <sz val="20"/>
      <name val="Arial"/>
      <family val="2"/>
    </font>
    <font>
      <b/>
      <sz val="8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7">
    <xf numFmtId="0" fontId="0" fillId="0" borderId="0" xfId="0"/>
    <xf numFmtId="0" fontId="4" fillId="0" borderId="0" xfId="0" applyFont="1"/>
    <xf numFmtId="164" fontId="4" fillId="0" borderId="5" xfId="0" applyNumberFormat="1" applyFont="1" applyBorder="1" applyAlignment="1">
      <alignment horizontal="center"/>
    </xf>
    <xf numFmtId="0" fontId="4" fillId="0" borderId="0" xfId="0" applyFont="1" applyAlignment="1">
      <alignment horizontal="left"/>
    </xf>
    <xf numFmtId="164" fontId="7" fillId="0" borderId="0" xfId="1" applyFont="1" applyFill="1" applyBorder="1"/>
    <xf numFmtId="0" fontId="10" fillId="0" borderId="0" xfId="0" applyFont="1"/>
    <xf numFmtId="10" fontId="10" fillId="0" borderId="0" xfId="0" applyNumberFormat="1" applyFont="1"/>
    <xf numFmtId="43" fontId="10" fillId="0" borderId="0" xfId="0" applyNumberFormat="1" applyFont="1"/>
    <xf numFmtId="164" fontId="11" fillId="0" borderId="7" xfId="1" applyFont="1" applyBorder="1"/>
    <xf numFmtId="164" fontId="11" fillId="0" borderId="7" xfId="1" applyFont="1" applyBorder="1" applyAlignment="1">
      <alignment vertical="center"/>
    </xf>
    <xf numFmtId="164" fontId="9" fillId="0" borderId="1" xfId="1" applyFont="1" applyBorder="1" applyAlignment="1">
      <alignment horizontal="center" vertical="center"/>
    </xf>
    <xf numFmtId="164" fontId="9" fillId="0" borderId="2" xfId="1" applyFont="1" applyBorder="1" applyAlignment="1">
      <alignment horizontal="center" vertical="center"/>
    </xf>
    <xf numFmtId="164" fontId="9" fillId="0" borderId="3" xfId="1" applyFont="1" applyBorder="1" applyAlignment="1">
      <alignment horizontal="center" vertical="center"/>
    </xf>
    <xf numFmtId="164" fontId="9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164" fontId="9" fillId="0" borderId="4" xfId="1" applyFont="1" applyBorder="1" applyAlignment="1">
      <alignment horizontal="center" vertical="center"/>
    </xf>
    <xf numFmtId="164" fontId="9" fillId="0" borderId="5" xfId="1" applyFont="1" applyBorder="1" applyAlignment="1">
      <alignment horizontal="center" vertical="center"/>
    </xf>
    <xf numFmtId="164" fontId="9" fillId="0" borderId="6" xfId="1" applyFont="1" applyBorder="1" applyAlignment="1">
      <alignment horizontal="center" vertical="center"/>
    </xf>
    <xf numFmtId="164" fontId="9" fillId="0" borderId="5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164" fontId="12" fillId="2" borderId="2" xfId="1" applyFont="1" applyFill="1" applyBorder="1" applyAlignment="1">
      <alignment vertical="center"/>
    </xf>
    <xf numFmtId="164" fontId="9" fillId="0" borderId="7" xfId="1" applyFont="1" applyBorder="1" applyAlignment="1">
      <alignment vertical="center"/>
    </xf>
    <xf numFmtId="164" fontId="9" fillId="0" borderId="8" xfId="1" applyFont="1" applyBorder="1" applyAlignment="1">
      <alignment vertical="center"/>
    </xf>
    <xf numFmtId="164" fontId="9" fillId="0" borderId="9" xfId="1" applyFont="1" applyBorder="1" applyAlignment="1">
      <alignment vertical="center"/>
    </xf>
    <xf numFmtId="2" fontId="9" fillId="0" borderId="8" xfId="0" applyNumberFormat="1" applyFont="1" applyBorder="1" applyAlignment="1">
      <alignment horizontal="center" vertical="center"/>
    </xf>
    <xf numFmtId="2" fontId="9" fillId="0" borderId="7" xfId="0" applyNumberFormat="1" applyFont="1" applyBorder="1" applyAlignment="1">
      <alignment horizontal="center" vertical="center"/>
    </xf>
    <xf numFmtId="164" fontId="12" fillId="2" borderId="7" xfId="1" applyFont="1" applyFill="1" applyBorder="1" applyAlignment="1">
      <alignment vertical="center"/>
    </xf>
    <xf numFmtId="164" fontId="9" fillId="0" borderId="5" xfId="1" applyFont="1" applyBorder="1" applyAlignment="1">
      <alignment vertical="center"/>
    </xf>
    <xf numFmtId="164" fontId="9" fillId="0" borderId="7" xfId="1" applyFont="1" applyFill="1" applyBorder="1" applyAlignment="1">
      <alignment vertical="center"/>
    </xf>
    <xf numFmtId="164" fontId="9" fillId="0" borderId="7" xfId="1" applyFont="1" applyBorder="1" applyAlignment="1">
      <alignment horizontal="center" vertical="center"/>
    </xf>
    <xf numFmtId="164" fontId="9" fillId="2" borderId="2" xfId="1" applyFont="1" applyFill="1" applyBorder="1" applyAlignment="1">
      <alignment vertical="center"/>
    </xf>
    <xf numFmtId="164" fontId="9" fillId="0" borderId="2" xfId="1" applyFont="1" applyBorder="1" applyAlignment="1">
      <alignment vertical="center"/>
    </xf>
    <xf numFmtId="164" fontId="11" fillId="0" borderId="8" xfId="1" applyFont="1" applyBorder="1" applyAlignment="1">
      <alignment vertical="center"/>
    </xf>
    <xf numFmtId="164" fontId="13" fillId="0" borderId="7" xfId="1" applyFont="1" applyBorder="1" applyAlignment="1">
      <alignment vertical="center"/>
    </xf>
    <xf numFmtId="2" fontId="11" fillId="0" borderId="7" xfId="0" applyNumberFormat="1" applyFont="1" applyBorder="1" applyAlignment="1">
      <alignment horizontal="center" vertical="center"/>
    </xf>
    <xf numFmtId="164" fontId="14" fillId="0" borderId="7" xfId="1" applyFont="1" applyBorder="1" applyAlignment="1">
      <alignment horizontal="center" vertical="center"/>
    </xf>
    <xf numFmtId="164" fontId="14" fillId="0" borderId="2" xfId="1" applyFont="1" applyBorder="1" applyAlignment="1">
      <alignment horizontal="center" vertical="center"/>
    </xf>
    <xf numFmtId="164" fontId="9" fillId="0" borderId="1" xfId="1" applyFont="1" applyBorder="1" applyAlignment="1">
      <alignment horizontal="center"/>
    </xf>
    <xf numFmtId="164" fontId="9" fillId="0" borderId="2" xfId="1" applyFont="1" applyBorder="1" applyAlignment="1">
      <alignment horizontal="center"/>
    </xf>
    <xf numFmtId="164" fontId="9" fillId="0" borderId="3" xfId="1" applyFont="1" applyBorder="1" applyAlignment="1">
      <alignment horizontal="center"/>
    </xf>
    <xf numFmtId="164" fontId="9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5" fillId="0" borderId="0" xfId="0" applyFont="1"/>
    <xf numFmtId="164" fontId="9" fillId="0" borderId="4" xfId="1" applyFont="1" applyBorder="1" applyAlignment="1">
      <alignment horizontal="center"/>
    </xf>
    <xf numFmtId="164" fontId="9" fillId="0" borderId="5" xfId="1" applyFont="1" applyBorder="1" applyAlignment="1">
      <alignment horizontal="center"/>
    </xf>
    <xf numFmtId="164" fontId="9" fillId="0" borderId="6" xfId="1" applyFont="1" applyBorder="1" applyAlignment="1">
      <alignment horizontal="center"/>
    </xf>
    <xf numFmtId="164" fontId="9" fillId="0" borderId="5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164" fontId="12" fillId="2" borderId="2" xfId="1" applyFont="1" applyFill="1" applyBorder="1"/>
    <xf numFmtId="164" fontId="9" fillId="0" borderId="2" xfId="1" applyFont="1" applyBorder="1"/>
    <xf numFmtId="164" fontId="9" fillId="0" borderId="7" xfId="1" applyFont="1" applyBorder="1"/>
    <xf numFmtId="164" fontId="9" fillId="0" borderId="8" xfId="1" applyFont="1" applyBorder="1"/>
    <xf numFmtId="164" fontId="9" fillId="0" borderId="9" xfId="1" applyFont="1" applyBorder="1"/>
    <xf numFmtId="2" fontId="9" fillId="0" borderId="8" xfId="0" applyNumberFormat="1" applyFont="1" applyBorder="1" applyAlignment="1">
      <alignment horizontal="center"/>
    </xf>
    <xf numFmtId="2" fontId="9" fillId="0" borderId="7" xfId="0" applyNumberFormat="1" applyFont="1" applyBorder="1"/>
    <xf numFmtId="164" fontId="12" fillId="2" borderId="7" xfId="1" applyFont="1" applyFill="1" applyBorder="1"/>
    <xf numFmtId="164" fontId="9" fillId="0" borderId="7" xfId="1" applyFont="1" applyFill="1" applyBorder="1"/>
    <xf numFmtId="164" fontId="9" fillId="0" borderId="5" xfId="1" applyFont="1" applyBorder="1"/>
    <xf numFmtId="164" fontId="9" fillId="2" borderId="2" xfId="1" applyFont="1" applyFill="1" applyBorder="1"/>
    <xf numFmtId="164" fontId="11" fillId="0" borderId="8" xfId="1" applyFont="1" applyBorder="1"/>
    <xf numFmtId="2" fontId="11" fillId="0" borderId="7" xfId="0" applyNumberFormat="1" applyFont="1" applyBorder="1"/>
    <xf numFmtId="2" fontId="11" fillId="0" borderId="8" xfId="0" applyNumberFormat="1" applyFont="1" applyBorder="1" applyAlignment="1">
      <alignment horizontal="center"/>
    </xf>
    <xf numFmtId="2" fontId="9" fillId="0" borderId="7" xfId="0" applyNumberFormat="1" applyFont="1" applyBorder="1" applyAlignment="1">
      <alignment horizontal="center"/>
    </xf>
    <xf numFmtId="164" fontId="9" fillId="0" borderId="7" xfId="1" applyFont="1" applyBorder="1" applyAlignment="1">
      <alignment horizontal="center"/>
    </xf>
    <xf numFmtId="2" fontId="11" fillId="0" borderId="7" xfId="0" applyNumberFormat="1" applyFont="1" applyBorder="1" applyAlignment="1">
      <alignment horizont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2" fontId="9" fillId="0" borderId="7" xfId="0" applyNumberFormat="1" applyFont="1" applyBorder="1" applyAlignment="1">
      <alignment vertical="center"/>
    </xf>
    <xf numFmtId="2" fontId="11" fillId="0" borderId="7" xfId="0" applyNumberFormat="1" applyFont="1" applyBorder="1" applyAlignment="1">
      <alignment vertical="center"/>
    </xf>
    <xf numFmtId="164" fontId="5" fillId="0" borderId="0" xfId="1" applyFont="1" applyFill="1" applyBorder="1" applyAlignment="1">
      <alignment vertical="center"/>
    </xf>
    <xf numFmtId="164" fontId="4" fillId="0" borderId="0" xfId="1" applyFont="1" applyAlignment="1">
      <alignment vertical="center"/>
    </xf>
    <xf numFmtId="164" fontId="4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64" fontId="4" fillId="0" borderId="0" xfId="1" applyFont="1"/>
    <xf numFmtId="43" fontId="0" fillId="0" borderId="0" xfId="0" applyNumberFormat="1"/>
    <xf numFmtId="41" fontId="10" fillId="0" borderId="0" xfId="0" applyNumberFormat="1" applyFont="1" applyAlignment="1">
      <alignment horizontal="center"/>
    </xf>
    <xf numFmtId="10" fontId="10" fillId="0" borderId="0" xfId="1" applyNumberFormat="1" applyFont="1" applyAlignment="1">
      <alignment horizontal="right"/>
    </xf>
    <xf numFmtId="43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1" applyNumberFormat="1" applyFont="1" applyAlignment="1">
      <alignment vertical="center"/>
    </xf>
    <xf numFmtId="0" fontId="17" fillId="0" borderId="0" xfId="0" applyFont="1"/>
    <xf numFmtId="41" fontId="10" fillId="0" borderId="0" xfId="0" applyNumberFormat="1" applyFont="1"/>
    <xf numFmtId="10" fontId="10" fillId="0" borderId="0" xfId="1" applyNumberFormat="1" applyFont="1" applyAlignment="1"/>
    <xf numFmtId="0" fontId="10" fillId="0" borderId="0" xfId="0" applyFont="1" applyAlignment="1">
      <alignment horizontal="center" vertical="center"/>
    </xf>
    <xf numFmtId="164" fontId="18" fillId="0" borderId="0" xfId="1" applyFont="1" applyFill="1" applyBorder="1"/>
    <xf numFmtId="0" fontId="10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164" fontId="18" fillId="0" borderId="0" xfId="1" applyFont="1" applyAlignment="1">
      <alignment vertical="center"/>
    </xf>
    <xf numFmtId="164" fontId="18" fillId="0" borderId="0" xfId="1" applyFont="1"/>
    <xf numFmtId="164" fontId="18" fillId="0" borderId="0" xfId="1" applyFont="1" applyFill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8" fillId="0" borderId="0" xfId="0" applyFont="1"/>
    <xf numFmtId="0" fontId="18" fillId="0" borderId="0" xfId="0" applyFont="1" applyAlignment="1">
      <alignment horizontal="left"/>
    </xf>
    <xf numFmtId="0" fontId="20" fillId="0" borderId="0" xfId="0" applyFont="1" applyAlignment="1">
      <alignment vertical="center"/>
    </xf>
    <xf numFmtId="164" fontId="4" fillId="0" borderId="1" xfId="1" applyFont="1" applyBorder="1" applyAlignment="1">
      <alignment horizontal="center" vertical="center"/>
    </xf>
    <xf numFmtId="164" fontId="4" fillId="0" borderId="2" xfId="1" applyFont="1" applyBorder="1" applyAlignment="1">
      <alignment horizontal="center" vertical="center"/>
    </xf>
    <xf numFmtId="164" fontId="4" fillId="0" borderId="3" xfId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4" fillId="0" borderId="4" xfId="1" applyFont="1" applyBorder="1" applyAlignment="1">
      <alignment horizontal="center" vertical="center"/>
    </xf>
    <xf numFmtId="164" fontId="4" fillId="0" borderId="5" xfId="1" applyFont="1" applyBorder="1" applyAlignment="1">
      <alignment horizontal="center" vertical="center"/>
    </xf>
    <xf numFmtId="164" fontId="4" fillId="0" borderId="6" xfId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64" fontId="18" fillId="0" borderId="0" xfId="1" applyFont="1" applyFill="1" applyBorder="1" applyAlignment="1">
      <alignment vertical="center"/>
    </xf>
    <xf numFmtId="164" fontId="15" fillId="0" borderId="0" xfId="0" applyNumberFormat="1" applyFont="1"/>
    <xf numFmtId="0" fontId="10" fillId="0" borderId="0" xfId="2" applyNumberFormat="1" applyFont="1"/>
    <xf numFmtId="164" fontId="22" fillId="2" borderId="2" xfId="1" applyFont="1" applyFill="1" applyBorder="1" applyAlignment="1">
      <alignment vertical="center"/>
    </xf>
    <xf numFmtId="164" fontId="22" fillId="2" borderId="7" xfId="1" applyFont="1" applyFill="1" applyBorder="1" applyAlignment="1">
      <alignment vertical="center"/>
    </xf>
    <xf numFmtId="164" fontId="5" fillId="0" borderId="0" xfId="1" applyFont="1" applyBorder="1" applyAlignment="1">
      <alignment vertical="center"/>
    </xf>
    <xf numFmtId="164" fontId="4" fillId="0" borderId="0" xfId="1" applyFont="1" applyBorder="1" applyAlignment="1">
      <alignment vertical="center"/>
    </xf>
    <xf numFmtId="2" fontId="5" fillId="0" borderId="0" xfId="0" applyNumberFormat="1" applyFont="1" applyAlignment="1">
      <alignment vertical="center"/>
    </xf>
    <xf numFmtId="43" fontId="4" fillId="0" borderId="0" xfId="0" applyNumberFormat="1" applyFont="1" applyAlignment="1">
      <alignment vertical="center"/>
    </xf>
    <xf numFmtId="2" fontId="11" fillId="0" borderId="8" xfId="0" applyNumberFormat="1" applyFont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7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164" fontId="7" fillId="0" borderId="1" xfId="1" applyFont="1" applyBorder="1" applyAlignment="1">
      <alignment horizontal="center" vertical="center"/>
    </xf>
    <xf numFmtId="164" fontId="7" fillId="0" borderId="2" xfId="1" applyFont="1" applyBorder="1" applyAlignment="1">
      <alignment horizontal="center" vertical="center"/>
    </xf>
    <xf numFmtId="164" fontId="7" fillId="0" borderId="3" xfId="1" applyFont="1" applyBorder="1" applyAlignment="1">
      <alignment horizontal="center" vertical="center"/>
    </xf>
    <xf numFmtId="43" fontId="7" fillId="0" borderId="2" xfId="0" applyNumberFormat="1" applyFont="1" applyBorder="1" applyAlignment="1">
      <alignment horizontal="center" vertical="center"/>
    </xf>
    <xf numFmtId="164" fontId="7" fillId="0" borderId="4" xfId="1" applyFont="1" applyBorder="1" applyAlignment="1">
      <alignment horizontal="center" vertical="center"/>
    </xf>
    <xf numFmtId="164" fontId="7" fillId="0" borderId="5" xfId="1" applyFont="1" applyBorder="1" applyAlignment="1">
      <alignment horizontal="center" vertical="center"/>
    </xf>
    <xf numFmtId="164" fontId="7" fillId="0" borderId="6" xfId="1" applyFont="1" applyBorder="1" applyAlignment="1">
      <alignment horizontal="center" vertical="center"/>
    </xf>
    <xf numFmtId="43" fontId="4" fillId="0" borderId="5" xfId="0" applyNumberFormat="1" applyFont="1" applyBorder="1" applyAlignment="1">
      <alignment horizontal="center" vertical="center"/>
    </xf>
    <xf numFmtId="164" fontId="10" fillId="0" borderId="0" xfId="0" applyNumberFormat="1" applyFont="1"/>
    <xf numFmtId="0" fontId="10" fillId="0" borderId="0" xfId="1" applyNumberFormat="1" applyFont="1" applyAlignment="1">
      <alignment horizontal="right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41" fontId="10" fillId="0" borderId="0" xfId="0" applyNumberFormat="1" applyFont="1" applyAlignment="1">
      <alignment horizontal="center" vertical="center"/>
    </xf>
    <xf numFmtId="10" fontId="10" fillId="0" borderId="0" xfId="1" applyNumberFormat="1" applyFont="1" applyAlignment="1">
      <alignment horizontal="right" vertical="center"/>
    </xf>
    <xf numFmtId="0" fontId="18" fillId="0" borderId="0" xfId="0" applyFont="1" applyAlignment="1">
      <alignment horizontal="left" vertical="center"/>
    </xf>
    <xf numFmtId="164" fontId="6" fillId="2" borderId="2" xfId="1" applyFont="1" applyFill="1" applyBorder="1" applyAlignment="1">
      <alignment vertical="center"/>
    </xf>
    <xf numFmtId="164" fontId="4" fillId="0" borderId="7" xfId="1" applyFont="1" applyBorder="1" applyAlignment="1">
      <alignment vertical="center"/>
    </xf>
    <xf numFmtId="164" fontId="4" fillId="0" borderId="8" xfId="1" applyFont="1" applyBorder="1" applyAlignment="1">
      <alignment vertical="center"/>
    </xf>
    <xf numFmtId="164" fontId="4" fillId="0" borderId="9" xfId="1" applyFont="1" applyBorder="1" applyAlignment="1">
      <alignment vertical="center"/>
    </xf>
    <xf numFmtId="2" fontId="4" fillId="0" borderId="8" xfId="0" applyNumberFormat="1" applyFont="1" applyBorder="1" applyAlignment="1">
      <alignment horizontal="center" vertical="center"/>
    </xf>
    <xf numFmtId="2" fontId="4" fillId="0" borderId="7" xfId="0" applyNumberFormat="1" applyFont="1" applyBorder="1" applyAlignment="1">
      <alignment horizontal="center" vertical="center"/>
    </xf>
    <xf numFmtId="164" fontId="6" fillId="2" borderId="7" xfId="1" applyFont="1" applyFill="1" applyBorder="1" applyAlignment="1">
      <alignment vertical="center"/>
    </xf>
    <xf numFmtId="164" fontId="4" fillId="0" borderId="7" xfId="1" applyFont="1" applyBorder="1" applyAlignment="1">
      <alignment horizontal="center" vertical="center"/>
    </xf>
    <xf numFmtId="164" fontId="4" fillId="0" borderId="7" xfId="1" applyFont="1" applyFill="1" applyBorder="1" applyAlignment="1">
      <alignment vertical="center"/>
    </xf>
    <xf numFmtId="164" fontId="4" fillId="2" borderId="2" xfId="1" applyFont="1" applyFill="1" applyBorder="1" applyAlignment="1">
      <alignment vertical="center"/>
    </xf>
    <xf numFmtId="164" fontId="4" fillId="0" borderId="2" xfId="1" applyFont="1" applyBorder="1" applyAlignment="1">
      <alignment vertical="center"/>
    </xf>
    <xf numFmtId="164" fontId="5" fillId="0" borderId="7" xfId="1" applyFont="1" applyBorder="1" applyAlignment="1">
      <alignment vertical="center"/>
    </xf>
    <xf numFmtId="164" fontId="5" fillId="0" borderId="8" xfId="1" applyFont="1" applyBorder="1" applyAlignment="1">
      <alignment vertical="center"/>
    </xf>
    <xf numFmtId="2" fontId="5" fillId="0" borderId="7" xfId="0" applyNumberFormat="1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10" fontId="10" fillId="0" borderId="0" xfId="2" applyNumberFormat="1" applyFont="1" applyAlignment="1">
      <alignment horizontal="right" vertical="center"/>
    </xf>
    <xf numFmtId="41" fontId="10" fillId="0" borderId="0" xfId="0" applyNumberFormat="1" applyFont="1" applyAlignment="1">
      <alignment vertical="center"/>
    </xf>
    <xf numFmtId="164" fontId="25" fillId="0" borderId="7" xfId="1" applyFont="1" applyBorder="1" applyAlignment="1">
      <alignment vertical="center"/>
    </xf>
    <xf numFmtId="164" fontId="25" fillId="0" borderId="8" xfId="1" applyFont="1" applyBorder="1" applyAlignment="1">
      <alignment vertical="center"/>
    </xf>
    <xf numFmtId="2" fontId="25" fillId="0" borderId="7" xfId="0" applyNumberFormat="1" applyFont="1" applyBorder="1" applyAlignment="1">
      <alignment horizontal="center" vertical="center"/>
    </xf>
    <xf numFmtId="2" fontId="25" fillId="0" borderId="7" xfId="0" applyNumberFormat="1" applyFont="1" applyBorder="1" applyAlignment="1">
      <alignment vertical="center"/>
    </xf>
    <xf numFmtId="0" fontId="26" fillId="0" borderId="0" xfId="0" applyFont="1" applyAlignment="1">
      <alignment vertical="center"/>
    </xf>
    <xf numFmtId="164" fontId="25" fillId="0" borderId="7" xfId="1" applyFont="1" applyBorder="1"/>
    <xf numFmtId="164" fontId="25" fillId="0" borderId="8" xfId="1" applyFont="1" applyBorder="1"/>
    <xf numFmtId="2" fontId="25" fillId="0" borderId="7" xfId="0" applyNumberFormat="1" applyFont="1" applyBorder="1" applyAlignment="1">
      <alignment horizontal="center"/>
    </xf>
    <xf numFmtId="2" fontId="25" fillId="0" borderId="7" xfId="0" applyNumberFormat="1" applyFont="1" applyBorder="1"/>
    <xf numFmtId="0" fontId="26" fillId="0" borderId="0" xfId="0" applyFont="1"/>
    <xf numFmtId="0" fontId="7" fillId="0" borderId="0" xfId="0" applyFont="1"/>
    <xf numFmtId="164" fontId="7" fillId="0" borderId="2" xfId="1" applyFont="1" applyBorder="1" applyAlignment="1">
      <alignment horizontal="center"/>
    </xf>
    <xf numFmtId="164" fontId="7" fillId="0" borderId="5" xfId="1" applyFont="1" applyBorder="1" applyAlignment="1">
      <alignment horizontal="center"/>
    </xf>
    <xf numFmtId="164" fontId="7" fillId="0" borderId="7" xfId="1" applyFont="1" applyBorder="1" applyAlignment="1">
      <alignment horizontal="center"/>
    </xf>
    <xf numFmtId="0" fontId="27" fillId="0" borderId="0" xfId="0" applyFont="1"/>
    <xf numFmtId="0" fontId="28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</cellXfs>
  <cellStyles count="3">
    <cellStyle name="কমা" xfId="1" builtinId="3"/>
    <cellStyle name="শতাংশ" xfId="2" builtinId="5"/>
    <cellStyle name="সাধারণ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32E59-8A02-4AB8-AFB0-8E3CCA2B00EC}">
  <dimension ref="A1:L27"/>
  <sheetViews>
    <sheetView view="pageLayout" topLeftCell="A7" zoomScaleNormal="100" workbookViewId="0">
      <selection activeCell="D7" sqref="D7"/>
    </sheetView>
  </sheetViews>
  <sheetFormatPr defaultRowHeight="15" x14ac:dyDescent="0.25"/>
  <cols>
    <col min="1" max="1" width="10" customWidth="1"/>
    <col min="2" max="2" width="13.5703125" bestFit="1" customWidth="1"/>
    <col min="3" max="3" width="14.140625" bestFit="1" customWidth="1"/>
    <col min="4" max="4" width="12.5703125" bestFit="1" customWidth="1"/>
    <col min="5" max="5" width="10.85546875" customWidth="1"/>
    <col min="6" max="6" width="12.5703125" bestFit="1" customWidth="1"/>
    <col min="7" max="7" width="11.85546875" customWidth="1"/>
    <col min="8" max="8" width="12.5703125" bestFit="1" customWidth="1"/>
    <col min="9" max="9" width="10" bestFit="1" customWidth="1"/>
    <col min="10" max="10" width="13.5703125" bestFit="1" customWidth="1"/>
    <col min="11" max="11" width="12.7109375" customWidth="1"/>
    <col min="12" max="12" width="10.42578125" customWidth="1"/>
    <col min="14" max="14" width="11.5703125" customWidth="1"/>
    <col min="15" max="15" width="17.140625" customWidth="1"/>
  </cols>
  <sheetData>
    <row r="1" spans="1:12" ht="25.5" x14ac:dyDescent="0.35">
      <c r="A1" s="173" t="s">
        <v>14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</row>
    <row r="2" spans="1:12" ht="20.25" x14ac:dyDescent="0.3">
      <c r="A2" s="174" t="s">
        <v>70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</row>
    <row r="3" spans="1:12" ht="20.25" x14ac:dyDescent="0.3">
      <c r="A3" s="175" t="s">
        <v>87</v>
      </c>
      <c r="B3" s="175"/>
      <c r="C3" s="175"/>
      <c r="D3" s="175"/>
      <c r="E3" s="175"/>
      <c r="F3" s="175"/>
      <c r="G3" s="175"/>
      <c r="H3" s="175"/>
      <c r="I3" s="175"/>
      <c r="J3" s="175"/>
      <c r="K3" s="175"/>
      <c r="L3" s="175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121" t="s">
        <v>0</v>
      </c>
      <c r="B5" s="122" t="s">
        <v>1</v>
      </c>
      <c r="C5" s="123" t="s">
        <v>2</v>
      </c>
      <c r="D5" s="122" t="s">
        <v>3</v>
      </c>
      <c r="E5" s="122" t="s">
        <v>4</v>
      </c>
      <c r="F5" s="122" t="s">
        <v>5</v>
      </c>
      <c r="G5" s="123" t="s">
        <v>6</v>
      </c>
      <c r="H5" s="122" t="s">
        <v>7</v>
      </c>
      <c r="I5" s="122" t="s">
        <v>8</v>
      </c>
      <c r="J5" s="123" t="s">
        <v>9</v>
      </c>
      <c r="K5" s="124" t="s">
        <v>1</v>
      </c>
      <c r="L5" s="119" t="s">
        <v>10</v>
      </c>
    </row>
    <row r="6" spans="1:12" ht="14.25" customHeight="1" x14ac:dyDescent="0.25">
      <c r="A6" s="125"/>
      <c r="B6" s="126"/>
      <c r="C6" s="127"/>
      <c r="D6" s="126"/>
      <c r="E6" s="126"/>
      <c r="F6" s="126"/>
      <c r="G6" s="127"/>
      <c r="H6" s="126"/>
      <c r="I6" s="126"/>
      <c r="J6" s="127"/>
      <c r="K6" s="128" t="s">
        <v>11</v>
      </c>
      <c r="L6" s="120" t="s">
        <v>12</v>
      </c>
    </row>
    <row r="7" spans="1:12" s="66" customFormat="1" ht="18" customHeight="1" x14ac:dyDescent="0.25">
      <c r="A7" s="111" t="s">
        <v>71</v>
      </c>
      <c r="B7" s="32">
        <f>'Magpie-1'!B20</f>
        <v>1850000</v>
      </c>
      <c r="C7" s="22">
        <v>485235</v>
      </c>
      <c r="D7" s="22">
        <f>'Magpie-1'!D20</f>
        <v>1711552</v>
      </c>
      <c r="E7" s="22">
        <f>'Magpie-1'!E20</f>
        <v>20030</v>
      </c>
      <c r="F7" s="22">
        <f>'Magpie-1'!F20</f>
        <v>1691522</v>
      </c>
      <c r="G7" s="22">
        <f>'Magpie-1'!G20</f>
        <v>101710</v>
      </c>
      <c r="H7" s="22">
        <f>'Magpie-1'!H20</f>
        <v>790000</v>
      </c>
      <c r="I7" s="24">
        <f>'Magpie-1'!I20</f>
        <v>0</v>
      </c>
      <c r="J7" s="22">
        <f>'Magpie-1'!J10</f>
        <v>934340</v>
      </c>
      <c r="K7" s="25">
        <f t="shared" ref="K7:K19" si="0">F7*100/B7</f>
        <v>91.433621621621626</v>
      </c>
      <c r="L7" s="70">
        <f>F7*100/F20</f>
        <v>14.501413344315914</v>
      </c>
    </row>
    <row r="8" spans="1:12" s="66" customFormat="1" ht="18" customHeight="1" x14ac:dyDescent="0.25">
      <c r="A8" s="112" t="s">
        <v>72</v>
      </c>
      <c r="B8" s="32">
        <f>'Magpie-2'!B20</f>
        <v>1200000</v>
      </c>
      <c r="C8" s="22">
        <v>685111</v>
      </c>
      <c r="D8" s="23">
        <f>'Magpie-2'!D20</f>
        <v>1300912</v>
      </c>
      <c r="E8" s="29">
        <f>'Magpie-2'!E20</f>
        <v>0</v>
      </c>
      <c r="F8" s="22">
        <f>'Magpie-2'!F20</f>
        <v>1300912</v>
      </c>
      <c r="G8" s="22">
        <f>'Magpie-2'!G20</f>
        <v>68490</v>
      </c>
      <c r="H8" s="22">
        <f>'Magpie-2'!H20</f>
        <v>1028330</v>
      </c>
      <c r="I8" s="22">
        <f>'Magpie-2'!I20</f>
        <v>0</v>
      </c>
      <c r="J8" s="22">
        <f>'Magpie-2'!J10</f>
        <v>864451</v>
      </c>
      <c r="K8" s="25">
        <f>F8*100/B8</f>
        <v>108.40933333333334</v>
      </c>
      <c r="L8" s="70">
        <f>F8*100/F20</f>
        <v>11.152714913894531</v>
      </c>
    </row>
    <row r="9" spans="1:12" s="66" customFormat="1" ht="18" customHeight="1" x14ac:dyDescent="0.25">
      <c r="A9" s="112" t="s">
        <v>73</v>
      </c>
      <c r="B9" s="32">
        <f>'Magpie-3'!B20</f>
        <v>1200000</v>
      </c>
      <c r="C9" s="22">
        <v>897360</v>
      </c>
      <c r="D9" s="23">
        <f>'Magpie-3'!D20</f>
        <v>484830</v>
      </c>
      <c r="E9" s="29">
        <f>'Magpie-3'!E20</f>
        <v>24167</v>
      </c>
      <c r="F9" s="22">
        <f>'Magpie-3'!F20</f>
        <v>460663</v>
      </c>
      <c r="G9" s="22">
        <f>'Magpie-3'!G20</f>
        <v>63875</v>
      </c>
      <c r="H9" s="22">
        <f>'Magpie-3'!H20</f>
        <v>444920</v>
      </c>
      <c r="I9" s="22">
        <f>'Magpie-3'!I20</f>
        <v>65195</v>
      </c>
      <c r="J9" s="22">
        <f>'Magpie-3'!J10</f>
        <v>811783</v>
      </c>
      <c r="K9" s="25">
        <f t="shared" si="0"/>
        <v>38.388583333333337</v>
      </c>
      <c r="L9" s="70">
        <f>F9*100/F20</f>
        <v>3.949262602220132</v>
      </c>
    </row>
    <row r="10" spans="1:12" s="66" customFormat="1" ht="18" customHeight="1" x14ac:dyDescent="0.25">
      <c r="A10" s="111" t="s">
        <v>74</v>
      </c>
      <c r="B10" s="32">
        <f>'Magpie-4'!B20</f>
        <v>1200000</v>
      </c>
      <c r="C10" s="22">
        <v>54255</v>
      </c>
      <c r="D10" s="23">
        <f>'Magpie-4'!D20</f>
        <v>383335</v>
      </c>
      <c r="E10" s="22">
        <f>'Magpie-4'!E20</f>
        <v>66639</v>
      </c>
      <c r="F10" s="22">
        <f>'Magpie-4'!F20</f>
        <v>316696</v>
      </c>
      <c r="G10" s="22">
        <f>'Magpie-4'!G20</f>
        <v>805</v>
      </c>
      <c r="H10" s="22">
        <f>'Magpie-4'!H20</f>
        <v>112270</v>
      </c>
      <c r="I10" s="22">
        <f>'Magpie-4'!I20</f>
        <v>0</v>
      </c>
      <c r="J10" s="22">
        <f>'Magpie-4'!J10</f>
        <v>296145</v>
      </c>
      <c r="K10" s="25">
        <f>F10*100/B10</f>
        <v>26.391333333333332</v>
      </c>
      <c r="L10" s="70">
        <f>F10*100/F20</f>
        <v>2.7150339164914632</v>
      </c>
    </row>
    <row r="11" spans="1:12" s="66" customFormat="1" ht="18" customHeight="1" x14ac:dyDescent="0.25">
      <c r="A11" s="112" t="s">
        <v>75</v>
      </c>
      <c r="B11" s="32">
        <f>'Kingfisher-1'!B20</f>
        <v>2850000</v>
      </c>
      <c r="C11" s="22">
        <v>1486841</v>
      </c>
      <c r="D11" s="23">
        <f>'Kingfisher-1'!D20</f>
        <v>3080531</v>
      </c>
      <c r="E11" s="29">
        <f>'Kingfisher-1'!E20</f>
        <v>29745</v>
      </c>
      <c r="F11" s="22">
        <f>'Kingfisher-1'!F20</f>
        <v>3050786</v>
      </c>
      <c r="G11" s="22">
        <f>'Kingfisher-1'!G20</f>
        <v>78625</v>
      </c>
      <c r="H11" s="22">
        <f>'Kingfisher-1'!H20</f>
        <v>2149165</v>
      </c>
      <c r="I11" s="22">
        <f>'Kingfisher-1'!I20</f>
        <v>0</v>
      </c>
      <c r="J11" s="22">
        <f>'Kingfisher-1'!J10</f>
        <v>1996280</v>
      </c>
      <c r="K11" s="25">
        <f t="shared" si="0"/>
        <v>107.04512280701755</v>
      </c>
      <c r="L11" s="70">
        <f>F11*100/F20</f>
        <v>26.154379789947853</v>
      </c>
    </row>
    <row r="12" spans="1:12" s="66" customFormat="1" ht="18" customHeight="1" x14ac:dyDescent="0.25">
      <c r="A12" s="112" t="s">
        <v>76</v>
      </c>
      <c r="B12" s="32">
        <f>'Kingfisher- 2'!B20</f>
        <v>1150000</v>
      </c>
      <c r="C12" s="22">
        <v>922695</v>
      </c>
      <c r="D12" s="23">
        <f>'Kingfisher- 2'!D20</f>
        <v>209760</v>
      </c>
      <c r="E12" s="22">
        <f>'Kingfisher- 2'!E20</f>
        <v>46635</v>
      </c>
      <c r="F12" s="22">
        <f>'Kingfisher- 2'!F20</f>
        <v>163125</v>
      </c>
      <c r="G12" s="22">
        <f>'Kingfisher- 2'!G20</f>
        <v>14365</v>
      </c>
      <c r="H12" s="22">
        <f>'Kingfisher- 2'!H20</f>
        <v>155510</v>
      </c>
      <c r="I12" s="22">
        <f>'Kingfisher- 2'!I20</f>
        <v>0</v>
      </c>
      <c r="J12" s="22">
        <f>'Kingfisher- 2'!J10</f>
        <v>905295</v>
      </c>
      <c r="K12" s="25">
        <f t="shared" si="0"/>
        <v>14.184782608695652</v>
      </c>
      <c r="L12" s="70">
        <f>F12*100/F20</f>
        <v>1.3984701657983363</v>
      </c>
    </row>
    <row r="13" spans="1:12" s="66" customFormat="1" ht="18" customHeight="1" x14ac:dyDescent="0.25">
      <c r="A13" s="111" t="s">
        <v>77</v>
      </c>
      <c r="B13" s="32">
        <f>'Kingfisher-3'!B20</f>
        <v>1200000</v>
      </c>
      <c r="C13" s="22">
        <v>553409</v>
      </c>
      <c r="D13" s="23">
        <f>'Kingfisher-3'!D20</f>
        <v>300760</v>
      </c>
      <c r="E13" s="22">
        <f>'Kingfisher-3'!E20</f>
        <v>4790</v>
      </c>
      <c r="F13" s="22">
        <f>'Kingfisher-3'!F20</f>
        <v>295970</v>
      </c>
      <c r="G13" s="22">
        <f>'Kingfisher-3'!G20</f>
        <v>4670</v>
      </c>
      <c r="H13" s="22">
        <f>'Kingfisher-3'!H20</f>
        <v>305630</v>
      </c>
      <c r="I13" s="22">
        <f>'Kingfisher-3'!I20</f>
        <v>0</v>
      </c>
      <c r="J13" s="22">
        <f>'Kingfisher-3'!J10</f>
        <v>534369</v>
      </c>
      <c r="K13" s="25">
        <f t="shared" si="0"/>
        <v>24.664166666666667</v>
      </c>
      <c r="L13" s="70">
        <f>F13*100/F20</f>
        <v>2.5373499768357615</v>
      </c>
    </row>
    <row r="14" spans="1:12" s="66" customFormat="1" ht="18" customHeight="1" x14ac:dyDescent="0.25">
      <c r="A14" s="111" t="s">
        <v>78</v>
      </c>
      <c r="B14" s="32">
        <f>'Kingfisher-4'!B20</f>
        <v>1550000</v>
      </c>
      <c r="C14" s="22">
        <v>462829</v>
      </c>
      <c r="D14" s="23">
        <f>'Kingfisher-4'!D20</f>
        <v>633370</v>
      </c>
      <c r="E14" s="22">
        <f>'Kingfisher-4'!E20</f>
        <v>0</v>
      </c>
      <c r="F14" s="22">
        <f>'Kingfisher-4'!F20</f>
        <v>633370</v>
      </c>
      <c r="G14" s="22">
        <f>'Kingfisher-4'!G20</f>
        <v>10556</v>
      </c>
      <c r="H14" s="22">
        <f>'Kingfisher-4'!H20</f>
        <v>534890</v>
      </c>
      <c r="I14" s="22">
        <f>'Kingfisher-4'!I20</f>
        <v>0</v>
      </c>
      <c r="J14" s="22">
        <f>'Kingfisher-4'!J10</f>
        <v>497149</v>
      </c>
      <c r="K14" s="25">
        <f>F14*100/B14</f>
        <v>40.862580645161287</v>
      </c>
      <c r="L14" s="70">
        <f>F14*100/F20</f>
        <v>5.4298792270448573</v>
      </c>
    </row>
    <row r="15" spans="1:12" s="66" customFormat="1" ht="18" customHeight="1" x14ac:dyDescent="0.25">
      <c r="A15" s="112" t="s">
        <v>79</v>
      </c>
      <c r="B15" s="32">
        <f>Feni!B20</f>
        <v>1300000</v>
      </c>
      <c r="C15" s="22">
        <v>1131672</v>
      </c>
      <c r="D15" s="23">
        <f>Feni!D20</f>
        <v>1138020</v>
      </c>
      <c r="E15" s="22">
        <f>Feni!E20</f>
        <v>0</v>
      </c>
      <c r="F15" s="22">
        <f>Feni!F20</f>
        <v>1138020</v>
      </c>
      <c r="G15" s="22">
        <f>Feni!G20</f>
        <v>184048</v>
      </c>
      <c r="H15" s="22">
        <f>Feni!H20</f>
        <v>616400</v>
      </c>
      <c r="I15" s="22">
        <f>Feni!I20</f>
        <v>0</v>
      </c>
      <c r="J15" s="22">
        <f>Feni!J10</f>
        <v>1482533</v>
      </c>
      <c r="K15" s="25">
        <f t="shared" si="0"/>
        <v>87.54</v>
      </c>
      <c r="L15" s="70">
        <f>F15*100/F20</f>
        <v>9.7562422564402933</v>
      </c>
    </row>
    <row r="16" spans="1:12" s="66" customFormat="1" ht="18" customHeight="1" x14ac:dyDescent="0.25">
      <c r="A16" s="112" t="s">
        <v>80</v>
      </c>
      <c r="B16" s="32">
        <f>'Bogra 1'!B20</f>
        <v>1200000</v>
      </c>
      <c r="C16" s="22">
        <v>27165</v>
      </c>
      <c r="D16" s="23">
        <f>'Bogra 1'!D20</f>
        <v>275250</v>
      </c>
      <c r="E16" s="22">
        <f>'Bogra 1'!E20</f>
        <v>63687</v>
      </c>
      <c r="F16" s="22">
        <f>'Bogra 1'!F20</f>
        <v>211563</v>
      </c>
      <c r="G16" s="22">
        <f>'Bogra 1'!G20</f>
        <v>98378</v>
      </c>
      <c r="H16" s="22">
        <f>'Bogra 1'!H20</f>
        <v>439500</v>
      </c>
      <c r="I16" s="22">
        <f>'Bogra 1'!I20</f>
        <v>0</v>
      </c>
      <c r="J16" s="22">
        <f>'Bogra 1'!J10</f>
        <v>585063</v>
      </c>
      <c r="K16" s="25">
        <f t="shared" si="0"/>
        <v>17.63025</v>
      </c>
      <c r="L16" s="70">
        <f>F16*100/F20</f>
        <v>1.8137290034439444</v>
      </c>
    </row>
    <row r="17" spans="1:12" s="66" customFormat="1" ht="18" customHeight="1" x14ac:dyDescent="0.25">
      <c r="A17" s="111" t="s">
        <v>81</v>
      </c>
      <c r="B17" s="32">
        <f>'Bogra 2'!B20</f>
        <v>1200000</v>
      </c>
      <c r="C17" s="22">
        <v>943644</v>
      </c>
      <c r="D17" s="23">
        <f>'Bogra 2'!D20</f>
        <v>581945</v>
      </c>
      <c r="E17" s="23">
        <f>'Bogra 2'!E20</f>
        <v>6565</v>
      </c>
      <c r="F17" s="23">
        <f>'Bogra 2'!F20</f>
        <v>575380</v>
      </c>
      <c r="G17" s="23">
        <f>'Bogra 2'!G20</f>
        <v>24506</v>
      </c>
      <c r="H17" s="23">
        <f>'Bogra 2'!H20</f>
        <v>328850</v>
      </c>
      <c r="I17" s="23">
        <f>'Bogra 2'!I20</f>
        <v>0</v>
      </c>
      <c r="J17" s="22">
        <f>'Bogra 2'!J10</f>
        <v>185529</v>
      </c>
      <c r="K17" s="25">
        <f t="shared" si="0"/>
        <v>47.948333333333331</v>
      </c>
      <c r="L17" s="70">
        <f>F17*100/F20</f>
        <v>4.932731120288409</v>
      </c>
    </row>
    <row r="18" spans="1:12" s="66" customFormat="1" ht="18" customHeight="1" x14ac:dyDescent="0.25">
      <c r="A18" s="111" t="s">
        <v>82</v>
      </c>
      <c r="B18" s="32">
        <f>Bakra!B20</f>
        <v>1300000</v>
      </c>
      <c r="C18" s="22">
        <v>2762236</v>
      </c>
      <c r="D18" s="23">
        <f>Bakra!D20</f>
        <v>1331600</v>
      </c>
      <c r="E18" s="23">
        <f>Bakra!E20</f>
        <v>137170</v>
      </c>
      <c r="F18" s="23">
        <f>Bakra!F20</f>
        <v>1194430</v>
      </c>
      <c r="G18" s="23">
        <f>Bakra!G20</f>
        <v>59220</v>
      </c>
      <c r="H18" s="23">
        <f>Bakra!H20</f>
        <v>1232850</v>
      </c>
      <c r="I18" s="23">
        <f>Bakra!I20</f>
        <v>0</v>
      </c>
      <c r="J18" s="22">
        <f>Bakra!J10</f>
        <v>2450404</v>
      </c>
      <c r="K18" s="25">
        <f t="shared" si="0"/>
        <v>91.879230769230773</v>
      </c>
      <c r="L18" s="70">
        <f>F18*100/F20</f>
        <v>10.239845027644487</v>
      </c>
    </row>
    <row r="19" spans="1:12" s="66" customFormat="1" ht="18" customHeight="1" x14ac:dyDescent="0.25">
      <c r="A19" s="111" t="s">
        <v>83</v>
      </c>
      <c r="B19" s="32">
        <f>Fulpur!B20</f>
        <v>1175000</v>
      </c>
      <c r="C19" s="22">
        <v>457634</v>
      </c>
      <c r="D19" s="23">
        <f>Fulpur!D20</f>
        <v>651310</v>
      </c>
      <c r="E19" s="23">
        <f>Fulpur!E20</f>
        <v>19215</v>
      </c>
      <c r="F19" s="23">
        <f>Fulpur!F20</f>
        <v>632095</v>
      </c>
      <c r="G19" s="23">
        <f>Fulpur!G20</f>
        <v>24600</v>
      </c>
      <c r="H19" s="23">
        <f>Fulpur!H20</f>
        <v>313500</v>
      </c>
      <c r="I19" s="23">
        <f>Fulpur!I20</f>
        <v>0</v>
      </c>
      <c r="J19" s="22">
        <f>Fulpur!J10</f>
        <v>588134</v>
      </c>
      <c r="K19" s="25">
        <f t="shared" si="0"/>
        <v>53.795319148936173</v>
      </c>
      <c r="L19" s="70">
        <f>F19*100/F20</f>
        <v>5.4189486556340194</v>
      </c>
    </row>
    <row r="20" spans="1:12" s="118" customFormat="1" ht="18" customHeight="1" x14ac:dyDescent="0.25">
      <c r="A20" s="9" t="s">
        <v>13</v>
      </c>
      <c r="B20" s="9">
        <f t="shared" ref="B20:J20" si="1">SUM(B7:B19)</f>
        <v>18375000</v>
      </c>
      <c r="C20" s="9">
        <f>SUM(C7:C19)</f>
        <v>10870086</v>
      </c>
      <c r="D20" s="33">
        <f t="shared" si="1"/>
        <v>12083175</v>
      </c>
      <c r="E20" s="33">
        <f t="shared" si="1"/>
        <v>418643</v>
      </c>
      <c r="F20" s="9">
        <f t="shared" si="1"/>
        <v>11664532</v>
      </c>
      <c r="G20" s="9">
        <f t="shared" si="1"/>
        <v>733848</v>
      </c>
      <c r="H20" s="9">
        <f t="shared" si="1"/>
        <v>8451815</v>
      </c>
      <c r="I20" s="9">
        <f t="shared" si="1"/>
        <v>65195</v>
      </c>
      <c r="J20" s="9">
        <f t="shared" si="1"/>
        <v>12131475</v>
      </c>
      <c r="K20" s="117">
        <f>F20*100/B20</f>
        <v>63.480446258503399</v>
      </c>
      <c r="L20" s="71">
        <f>SUM(L7:L19)</f>
        <v>100</v>
      </c>
    </row>
    <row r="21" spans="1:12" s="66" customFormat="1" ht="18" customHeight="1" x14ac:dyDescent="0.25">
      <c r="A21" s="113"/>
      <c r="B21" s="113"/>
      <c r="C21" s="113"/>
      <c r="D21" s="113"/>
      <c r="E21" s="113"/>
      <c r="F21" s="113"/>
      <c r="G21" s="113"/>
      <c r="H21" s="113"/>
      <c r="I21" s="113"/>
      <c r="J21" s="114"/>
      <c r="K21" s="115"/>
      <c r="L21" s="115"/>
    </row>
    <row r="22" spans="1:12" s="66" customFormat="1" ht="18" customHeight="1" x14ac:dyDescent="0.25">
      <c r="A22" s="72"/>
      <c r="B22" s="67"/>
      <c r="C22" s="67"/>
      <c r="D22" s="67"/>
      <c r="E22" s="67"/>
      <c r="F22" s="67"/>
      <c r="G22" s="67"/>
      <c r="H22" s="67"/>
      <c r="I22" s="67"/>
      <c r="J22" s="73"/>
      <c r="K22" s="116"/>
      <c r="L22" s="67"/>
    </row>
    <row r="23" spans="1:12" s="66" customFormat="1" ht="18" customHeight="1" x14ac:dyDescent="0.25">
      <c r="A23" s="72"/>
      <c r="B23" s="67"/>
      <c r="C23" s="67"/>
      <c r="D23" s="67"/>
      <c r="E23" s="67"/>
      <c r="F23" s="67"/>
      <c r="G23" s="67"/>
      <c r="H23" s="67"/>
      <c r="I23" s="67"/>
      <c r="J23" s="73"/>
      <c r="K23" s="116"/>
      <c r="L23" s="67"/>
    </row>
    <row r="24" spans="1:12" s="66" customFormat="1" ht="18" customHeight="1" x14ac:dyDescent="0.25">
      <c r="A24" s="72"/>
      <c r="B24" s="67"/>
      <c r="C24" s="67"/>
      <c r="D24" s="67"/>
      <c r="E24" s="67"/>
      <c r="F24" s="67"/>
      <c r="G24" s="67"/>
      <c r="H24" s="67"/>
      <c r="I24" s="67"/>
      <c r="J24" s="73"/>
      <c r="K24" s="116"/>
      <c r="L24" s="67"/>
    </row>
    <row r="25" spans="1:12" x14ac:dyDescent="0.25">
      <c r="J25" s="76"/>
    </row>
    <row r="26" spans="1:12" x14ac:dyDescent="0.25">
      <c r="A26" t="s">
        <v>84</v>
      </c>
      <c r="F26" t="s">
        <v>85</v>
      </c>
      <c r="J26" s="76"/>
      <c r="K26" t="s">
        <v>86</v>
      </c>
    </row>
    <row r="27" spans="1:12" x14ac:dyDescent="0.25">
      <c r="C27" s="77"/>
      <c r="J27" s="76"/>
    </row>
  </sheetData>
  <mergeCells count="3">
    <mergeCell ref="A1:L1"/>
    <mergeCell ref="A2:L2"/>
    <mergeCell ref="A3:L3"/>
  </mergeCells>
  <pageMargins left="0.25" right="0.12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"/>
  <sheetViews>
    <sheetView view="pageLayout" topLeftCell="A7" zoomScaleNormal="115" workbookViewId="0">
      <selection activeCell="E14" sqref="E14"/>
    </sheetView>
  </sheetViews>
  <sheetFormatPr defaultRowHeight="15" x14ac:dyDescent="0.25"/>
  <cols>
    <col min="1" max="1" width="10.28515625" style="66" customWidth="1"/>
    <col min="2" max="2" width="12.85546875" style="66" bestFit="1" customWidth="1"/>
    <col min="3" max="3" width="14" style="66" bestFit="1" customWidth="1"/>
    <col min="4" max="4" width="12.85546875" style="66" bestFit="1" customWidth="1"/>
    <col min="5" max="5" width="11.140625" style="66" bestFit="1" customWidth="1"/>
    <col min="6" max="6" width="12.85546875" style="66" bestFit="1" customWidth="1"/>
    <col min="7" max="7" width="11.85546875" style="66" customWidth="1"/>
    <col min="8" max="8" width="12.28515625" style="66" customWidth="1"/>
    <col min="9" max="9" width="8.28515625" style="66" customWidth="1"/>
    <col min="10" max="10" width="12.85546875" style="66" bestFit="1" customWidth="1"/>
    <col min="11" max="11" width="14.7109375" style="66" customWidth="1"/>
    <col min="12" max="12" width="9.85546875" style="66" bestFit="1" customWidth="1"/>
    <col min="13" max="13" width="14" style="66" bestFit="1" customWidth="1"/>
    <col min="14" max="14" width="13.5703125" style="66" customWidth="1"/>
    <col min="15" max="16384" width="9.140625" style="66"/>
  </cols>
  <sheetData>
    <row r="1" spans="1:12" ht="34.5" customHeight="1" x14ac:dyDescent="0.25">
      <c r="A1" s="169" t="s">
        <v>14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</row>
    <row r="2" spans="1:12" x14ac:dyDescent="0.25">
      <c r="A2" s="170" t="s">
        <v>51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</row>
    <row r="3" spans="1:12" ht="20.25" x14ac:dyDescent="0.25">
      <c r="A3" s="171" t="s">
        <v>52</v>
      </c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</row>
    <row r="4" spans="1:12" ht="20.25" x14ac:dyDescent="0.25">
      <c r="A4" s="172" t="s">
        <v>53</v>
      </c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</row>
    <row r="5" spans="1:12" x14ac:dyDescent="0.25">
      <c r="A5" s="67"/>
      <c r="B5" s="67"/>
      <c r="C5" s="67"/>
      <c r="D5" s="67"/>
      <c r="E5" s="67"/>
      <c r="F5" s="67"/>
      <c r="G5" s="67"/>
      <c r="I5" s="67"/>
      <c r="J5" s="68" t="s">
        <v>36</v>
      </c>
      <c r="K5" s="67"/>
      <c r="L5" s="67"/>
    </row>
    <row r="6" spans="1:12" s="69" customFormat="1" ht="16.5" customHeight="1" x14ac:dyDescent="0.25">
      <c r="A6" s="10" t="s">
        <v>0</v>
      </c>
      <c r="B6" s="11" t="s">
        <v>1</v>
      </c>
      <c r="C6" s="12" t="s">
        <v>2</v>
      </c>
      <c r="D6" s="11" t="s">
        <v>3</v>
      </c>
      <c r="E6" s="11" t="s">
        <v>4</v>
      </c>
      <c r="F6" s="11" t="s">
        <v>5</v>
      </c>
      <c r="G6" s="12" t="s">
        <v>6</v>
      </c>
      <c r="H6" s="11" t="s">
        <v>7</v>
      </c>
      <c r="I6" s="11" t="s">
        <v>8</v>
      </c>
      <c r="J6" s="12" t="s">
        <v>9</v>
      </c>
      <c r="K6" s="13" t="s">
        <v>1</v>
      </c>
      <c r="L6" s="14" t="s">
        <v>10</v>
      </c>
    </row>
    <row r="7" spans="1:12" s="69" customFormat="1" ht="12" x14ac:dyDescent="0.25">
      <c r="A7" s="16"/>
      <c r="B7" s="17"/>
      <c r="C7" s="18"/>
      <c r="D7" s="17"/>
      <c r="E7" s="17"/>
      <c r="F7" s="17"/>
      <c r="G7" s="18"/>
      <c r="H7" s="17"/>
      <c r="I7" s="17"/>
      <c r="J7" s="18"/>
      <c r="K7" s="19" t="s">
        <v>11</v>
      </c>
      <c r="L7" s="20" t="s">
        <v>12</v>
      </c>
    </row>
    <row r="8" spans="1:12" s="69" customFormat="1" ht="19.5" customHeight="1" x14ac:dyDescent="0.25">
      <c r="A8" s="21" t="s">
        <v>15</v>
      </c>
      <c r="B8" s="32">
        <v>300000</v>
      </c>
      <c r="C8" s="22">
        <v>485235</v>
      </c>
      <c r="D8" s="23">
        <v>324660</v>
      </c>
      <c r="E8" s="22">
        <v>0</v>
      </c>
      <c r="F8" s="22">
        <f>D8-E8</f>
        <v>324660</v>
      </c>
      <c r="G8" s="22">
        <v>92260</v>
      </c>
      <c r="H8" s="22">
        <v>168000</v>
      </c>
      <c r="I8" s="24"/>
      <c r="J8" s="22">
        <f>C8+D8-E8-G8-H8-I8</f>
        <v>549635</v>
      </c>
      <c r="K8" s="25">
        <f>F8*100/B8</f>
        <v>108.22</v>
      </c>
      <c r="L8" s="70">
        <f>F8*100/F20</f>
        <v>19.193365501601516</v>
      </c>
    </row>
    <row r="9" spans="1:12" s="69" customFormat="1" ht="19.5" customHeight="1" x14ac:dyDescent="0.25">
      <c r="A9" s="27" t="s">
        <v>16</v>
      </c>
      <c r="B9" s="22">
        <v>400000</v>
      </c>
      <c r="C9" s="22">
        <v>549635</v>
      </c>
      <c r="D9" s="23">
        <v>349430</v>
      </c>
      <c r="E9" s="29">
        <v>5900</v>
      </c>
      <c r="F9" s="22">
        <f t="shared" ref="F9:F16" si="0">D9-E9</f>
        <v>343530</v>
      </c>
      <c r="G9" s="22">
        <v>0</v>
      </c>
      <c r="H9" s="22">
        <v>67000</v>
      </c>
      <c r="I9" s="22"/>
      <c r="J9" s="22">
        <f t="shared" ref="J9:J16" si="1">C9+D9-E9-G9-H9-I9</f>
        <v>826165</v>
      </c>
      <c r="K9" s="25">
        <f t="shared" ref="K9:K19" si="2">F9*100/B9</f>
        <v>85.882499999999993</v>
      </c>
      <c r="L9" s="70">
        <f>F9*100/F20</f>
        <v>20.30892888179994</v>
      </c>
    </row>
    <row r="10" spans="1:12" s="69" customFormat="1" ht="19.5" customHeight="1" x14ac:dyDescent="0.25">
      <c r="A10" s="27" t="s">
        <v>17</v>
      </c>
      <c r="B10" s="32">
        <v>350000</v>
      </c>
      <c r="C10" s="22">
        <v>826165</v>
      </c>
      <c r="D10" s="23">
        <v>316655</v>
      </c>
      <c r="E10" s="22">
        <v>3480</v>
      </c>
      <c r="F10" s="22">
        <f t="shared" si="0"/>
        <v>313175</v>
      </c>
      <c r="G10" s="22">
        <v>0</v>
      </c>
      <c r="H10" s="22">
        <v>205000</v>
      </c>
      <c r="I10" s="24"/>
      <c r="J10" s="22">
        <f t="shared" si="1"/>
        <v>934340</v>
      </c>
      <c r="K10" s="25">
        <f t="shared" si="2"/>
        <v>89.478571428571428</v>
      </c>
      <c r="L10" s="70">
        <f>F10*100/F20</f>
        <v>18.514391181433052</v>
      </c>
    </row>
    <row r="11" spans="1:12" s="69" customFormat="1" ht="19.5" customHeight="1" x14ac:dyDescent="0.25">
      <c r="A11" s="27" t="s">
        <v>18</v>
      </c>
      <c r="B11" s="22">
        <v>450000</v>
      </c>
      <c r="C11" s="22">
        <v>934340</v>
      </c>
      <c r="D11" s="23">
        <v>415167</v>
      </c>
      <c r="E11" s="22">
        <v>4200</v>
      </c>
      <c r="F11" s="22">
        <f t="shared" si="0"/>
        <v>410967</v>
      </c>
      <c r="G11" s="22">
        <v>4420</v>
      </c>
      <c r="H11" s="22">
        <v>186000</v>
      </c>
      <c r="I11" s="22"/>
      <c r="J11" s="22">
        <f t="shared" si="1"/>
        <v>1154887</v>
      </c>
      <c r="K11" s="25">
        <f t="shared" si="2"/>
        <v>91.325999999999993</v>
      </c>
      <c r="L11" s="70">
        <f>100*F11/F20</f>
        <v>24.295693464229256</v>
      </c>
    </row>
    <row r="12" spans="1:12" s="69" customFormat="1" ht="19.5" customHeight="1" x14ac:dyDescent="0.25">
      <c r="A12" s="21" t="s">
        <v>19</v>
      </c>
      <c r="B12" s="32">
        <v>350000</v>
      </c>
      <c r="C12" s="22">
        <v>1154887</v>
      </c>
      <c r="D12" s="23">
        <v>305640</v>
      </c>
      <c r="E12" s="22">
        <v>6450</v>
      </c>
      <c r="F12" s="22">
        <f t="shared" si="0"/>
        <v>299190</v>
      </c>
      <c r="G12" s="22">
        <v>5030</v>
      </c>
      <c r="H12" s="22">
        <v>164000</v>
      </c>
      <c r="I12" s="22"/>
      <c r="J12" s="22">
        <f t="shared" si="1"/>
        <v>1285047</v>
      </c>
      <c r="K12" s="25">
        <f t="shared" si="2"/>
        <v>85.482857142857142</v>
      </c>
      <c r="L12" s="70">
        <f>F12*100/F20</f>
        <v>17.687620970936234</v>
      </c>
    </row>
    <row r="13" spans="1:12" s="69" customFormat="1" ht="19.5" customHeight="1" x14ac:dyDescent="0.25">
      <c r="A13" s="27" t="s">
        <v>20</v>
      </c>
      <c r="B13" s="22"/>
      <c r="C13" s="22"/>
      <c r="D13" s="23"/>
      <c r="E13" s="22"/>
      <c r="F13" s="22">
        <f t="shared" si="0"/>
        <v>0</v>
      </c>
      <c r="G13" s="22"/>
      <c r="H13" s="22"/>
      <c r="I13" s="22"/>
      <c r="J13" s="22">
        <f t="shared" si="1"/>
        <v>0</v>
      </c>
      <c r="K13" s="25" t="e">
        <f t="shared" si="2"/>
        <v>#DIV/0!</v>
      </c>
      <c r="L13" s="70">
        <f>100*F13/F20</f>
        <v>0</v>
      </c>
    </row>
    <row r="14" spans="1:12" s="69" customFormat="1" ht="19.5" customHeight="1" x14ac:dyDescent="0.25">
      <c r="A14" s="27" t="s">
        <v>21</v>
      </c>
      <c r="B14" s="22"/>
      <c r="C14" s="22"/>
      <c r="D14" s="23"/>
      <c r="E14" s="22"/>
      <c r="F14" s="22">
        <f t="shared" si="0"/>
        <v>0</v>
      </c>
      <c r="G14" s="22"/>
      <c r="H14" s="22"/>
      <c r="I14" s="22"/>
      <c r="J14" s="22">
        <f t="shared" si="1"/>
        <v>0</v>
      </c>
      <c r="K14" s="25" t="e">
        <f t="shared" si="2"/>
        <v>#DIV/0!</v>
      </c>
      <c r="L14" s="70">
        <f>100*F14/F20</f>
        <v>0</v>
      </c>
    </row>
    <row r="15" spans="1:12" s="69" customFormat="1" ht="19.5" customHeight="1" x14ac:dyDescent="0.25">
      <c r="A15" s="21" t="s">
        <v>22</v>
      </c>
      <c r="B15" s="32"/>
      <c r="C15" s="22"/>
      <c r="D15" s="23"/>
      <c r="E15" s="22"/>
      <c r="F15" s="22">
        <f t="shared" si="0"/>
        <v>0</v>
      </c>
      <c r="G15" s="22"/>
      <c r="H15" s="22"/>
      <c r="I15" s="24"/>
      <c r="J15" s="22">
        <f t="shared" si="1"/>
        <v>0</v>
      </c>
      <c r="K15" s="25" t="e">
        <f t="shared" si="2"/>
        <v>#DIV/0!</v>
      </c>
      <c r="L15" s="70">
        <f>F15*100/F20</f>
        <v>0</v>
      </c>
    </row>
    <row r="16" spans="1:12" s="69" customFormat="1" ht="19.5" customHeight="1" x14ac:dyDescent="0.25">
      <c r="A16" s="31" t="s">
        <v>23</v>
      </c>
      <c r="B16" s="32"/>
      <c r="C16" s="22"/>
      <c r="D16" s="23"/>
      <c r="E16" s="22"/>
      <c r="F16" s="22">
        <f t="shared" si="0"/>
        <v>0</v>
      </c>
      <c r="G16" s="22"/>
      <c r="H16" s="22"/>
      <c r="I16" s="22"/>
      <c r="J16" s="22">
        <f t="shared" si="1"/>
        <v>0</v>
      </c>
      <c r="K16" s="25" t="e">
        <f t="shared" si="2"/>
        <v>#DIV/0!</v>
      </c>
      <c r="L16" s="70">
        <f>F16*100/F20</f>
        <v>0</v>
      </c>
    </row>
    <row r="17" spans="1:13" s="69" customFormat="1" ht="19.5" customHeight="1" x14ac:dyDescent="0.25">
      <c r="A17" s="32" t="s">
        <v>24</v>
      </c>
      <c r="B17" s="32"/>
      <c r="C17" s="22"/>
      <c r="D17" s="23"/>
      <c r="E17" s="22"/>
      <c r="F17" s="22">
        <f>D17-E17</f>
        <v>0</v>
      </c>
      <c r="G17" s="22"/>
      <c r="H17" s="22"/>
      <c r="I17" s="22"/>
      <c r="J17" s="22">
        <f>C17+D17-E17-G17-H17</f>
        <v>0</v>
      </c>
      <c r="K17" s="25" t="e">
        <f t="shared" si="2"/>
        <v>#DIV/0!</v>
      </c>
      <c r="L17" s="70">
        <f>F17*100/F20</f>
        <v>0</v>
      </c>
    </row>
    <row r="18" spans="1:13" s="69" customFormat="1" ht="19.5" customHeight="1" x14ac:dyDescent="0.25">
      <c r="A18" s="32" t="s">
        <v>25</v>
      </c>
      <c r="B18" s="32"/>
      <c r="C18" s="22"/>
      <c r="D18" s="23"/>
      <c r="E18" s="22"/>
      <c r="F18" s="22">
        <f>D18-E18</f>
        <v>0</v>
      </c>
      <c r="G18" s="22"/>
      <c r="H18" s="22"/>
      <c r="I18" s="22"/>
      <c r="J18" s="22">
        <f>C18+D18-E18-G18-H18</f>
        <v>0</v>
      </c>
      <c r="K18" s="25" t="e">
        <f t="shared" si="2"/>
        <v>#DIV/0!</v>
      </c>
      <c r="L18" s="70">
        <f>F18*100/F20</f>
        <v>0</v>
      </c>
    </row>
    <row r="19" spans="1:13" s="69" customFormat="1" ht="19.5" customHeight="1" x14ac:dyDescent="0.25">
      <c r="A19" s="32" t="s">
        <v>26</v>
      </c>
      <c r="B19" s="32"/>
      <c r="C19" s="22"/>
      <c r="D19" s="23"/>
      <c r="E19" s="22"/>
      <c r="F19" s="22">
        <f>D19-E19</f>
        <v>0</v>
      </c>
      <c r="G19" s="22"/>
      <c r="H19" s="22"/>
      <c r="I19" s="22"/>
      <c r="J19" s="22">
        <f>C19+D19-E19-G19-H19</f>
        <v>0</v>
      </c>
      <c r="K19" s="25" t="e">
        <f t="shared" si="2"/>
        <v>#DIV/0!</v>
      </c>
      <c r="L19" s="70">
        <f>F19*100/F20</f>
        <v>0</v>
      </c>
    </row>
    <row r="20" spans="1:13" s="157" customFormat="1" ht="19.5" customHeight="1" x14ac:dyDescent="0.25">
      <c r="A20" s="153" t="s">
        <v>13</v>
      </c>
      <c r="B20" s="153">
        <f t="shared" ref="B20" si="3">SUM(B8:B19)</f>
        <v>1850000</v>
      </c>
      <c r="C20" s="153">
        <f>C8</f>
        <v>485235</v>
      </c>
      <c r="D20" s="154">
        <f>SUM(D8:D19)</f>
        <v>1711552</v>
      </c>
      <c r="E20" s="153">
        <f>SUM(E8:E19)</f>
        <v>20030</v>
      </c>
      <c r="F20" s="153">
        <f>SUM(F8:F19)</f>
        <v>1691522</v>
      </c>
      <c r="G20" s="153">
        <f>SUM(G8:G19)</f>
        <v>101710</v>
      </c>
      <c r="H20" s="153">
        <f t="shared" ref="H20" si="4">SUM(H8:H19)</f>
        <v>790000</v>
      </c>
      <c r="I20" s="153"/>
      <c r="J20" s="153">
        <f>J12</f>
        <v>1285047</v>
      </c>
      <c r="K20" s="155">
        <f>(K8+K9+K10+K11+K12)/5</f>
        <v>92.077985714285703</v>
      </c>
      <c r="L20" s="156"/>
    </row>
    <row r="21" spans="1:13" ht="13.5" customHeight="1" x14ac:dyDescent="0.25">
      <c r="A21" s="72"/>
      <c r="B21" s="67"/>
      <c r="C21" s="67"/>
      <c r="D21" s="67"/>
      <c r="E21" s="67"/>
      <c r="F21" s="67"/>
      <c r="G21" s="67"/>
      <c r="H21" s="67"/>
      <c r="I21" s="67"/>
      <c r="J21" s="73"/>
      <c r="K21" s="74"/>
      <c r="L21" s="67"/>
    </row>
    <row r="22" spans="1:13" x14ac:dyDescent="0.2">
      <c r="A22" s="4" t="s">
        <v>31</v>
      </c>
      <c r="B22" s="5"/>
      <c r="C22" s="5"/>
      <c r="D22" s="78">
        <f>F20/5</f>
        <v>338304.4</v>
      </c>
      <c r="E22" s="5"/>
      <c r="F22" s="67"/>
      <c r="G22" s="67"/>
      <c r="H22" s="67"/>
      <c r="I22" s="67"/>
      <c r="J22" s="73"/>
      <c r="K22" s="67"/>
      <c r="L22" s="67"/>
      <c r="M22" s="80"/>
    </row>
    <row r="23" spans="1:13" x14ac:dyDescent="0.2">
      <c r="A23" s="4" t="s">
        <v>30</v>
      </c>
      <c r="B23" s="5"/>
      <c r="C23" s="5"/>
      <c r="D23" s="78">
        <f>B20/5</f>
        <v>370000</v>
      </c>
      <c r="E23" s="5"/>
      <c r="J23" s="73"/>
      <c r="M23" s="80"/>
    </row>
    <row r="24" spans="1:13" customFormat="1" x14ac:dyDescent="0.25">
      <c r="A24" s="4" t="s">
        <v>28</v>
      </c>
      <c r="B24" s="5"/>
      <c r="C24" s="5"/>
      <c r="D24" s="78">
        <f>H20/5</f>
        <v>158000</v>
      </c>
      <c r="E24" s="5"/>
      <c r="J24" s="76"/>
      <c r="M24" s="77"/>
    </row>
    <row r="25" spans="1:13" x14ac:dyDescent="0.2">
      <c r="A25" s="4" t="s">
        <v>29</v>
      </c>
      <c r="B25" s="5"/>
      <c r="C25" s="5"/>
      <c r="D25" s="6">
        <v>0.92079999999999995</v>
      </c>
      <c r="E25" s="5"/>
      <c r="J25" s="73"/>
    </row>
    <row r="26" spans="1:13" x14ac:dyDescent="0.2">
      <c r="A26" s="4" t="s">
        <v>32</v>
      </c>
      <c r="B26" s="5"/>
      <c r="C26" s="5"/>
      <c r="D26" s="5"/>
      <c r="E26" s="5"/>
    </row>
    <row r="27" spans="1:13" x14ac:dyDescent="0.2">
      <c r="A27" s="5"/>
      <c r="B27" s="5"/>
      <c r="C27" s="5"/>
      <c r="E27" s="5"/>
      <c r="J27" s="86" t="s">
        <v>49</v>
      </c>
      <c r="K27" s="81"/>
    </row>
    <row r="28" spans="1:13" x14ac:dyDescent="0.25">
      <c r="D28" s="82"/>
      <c r="J28" s="86" t="s">
        <v>50</v>
      </c>
      <c r="K28" s="81"/>
    </row>
    <row r="29" spans="1:13" x14ac:dyDescent="0.25">
      <c r="D29" s="82"/>
    </row>
    <row r="30" spans="1:13" x14ac:dyDescent="0.25">
      <c r="D30" s="80"/>
    </row>
  </sheetData>
  <mergeCells count="4">
    <mergeCell ref="A1:L1"/>
    <mergeCell ref="A2:L2"/>
    <mergeCell ref="A3:L3"/>
    <mergeCell ref="A4:L4"/>
  </mergeCells>
  <pageMargins left="0.25" right="0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9"/>
  <sheetViews>
    <sheetView view="pageLayout" topLeftCell="A16" zoomScaleNormal="130" workbookViewId="0">
      <selection activeCell="C27" sqref="C27"/>
    </sheetView>
  </sheetViews>
  <sheetFormatPr defaultRowHeight="15" x14ac:dyDescent="0.25"/>
  <cols>
    <col min="1" max="1" width="10.85546875" bestFit="1" customWidth="1"/>
    <col min="2" max="2" width="12.85546875" bestFit="1" customWidth="1"/>
    <col min="3" max="3" width="13.140625" customWidth="1"/>
    <col min="4" max="4" width="12.85546875" bestFit="1" customWidth="1"/>
    <col min="5" max="5" width="11.140625" bestFit="1" customWidth="1"/>
    <col min="6" max="6" width="12.85546875" bestFit="1" customWidth="1"/>
    <col min="7" max="7" width="12.5703125" bestFit="1" customWidth="1"/>
    <col min="8" max="8" width="12.85546875" bestFit="1" customWidth="1"/>
    <col min="9" max="9" width="8.85546875" customWidth="1"/>
    <col min="10" max="10" width="12.42578125" customWidth="1"/>
    <col min="11" max="11" width="15.140625" bestFit="1" customWidth="1"/>
    <col min="12" max="12" width="9.85546875" bestFit="1" customWidth="1"/>
  </cols>
  <sheetData>
    <row r="1" spans="1:12" ht="30" x14ac:dyDescent="0.25">
      <c r="A1" s="169" t="s">
        <v>14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</row>
    <row r="2" spans="1:12" x14ac:dyDescent="0.25">
      <c r="A2" s="170" t="s">
        <v>51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</row>
    <row r="3" spans="1:12" ht="20.25" x14ac:dyDescent="0.25">
      <c r="A3" s="171" t="s">
        <v>54</v>
      </c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</row>
    <row r="4" spans="1:12" ht="20.25" x14ac:dyDescent="0.25">
      <c r="A4" s="172" t="s">
        <v>53</v>
      </c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</row>
    <row r="5" spans="1:12" s="43" customFormat="1" ht="18" customHeight="1" x14ac:dyDescent="0.2">
      <c r="A5" s="1"/>
      <c r="B5" s="1"/>
      <c r="C5" s="1"/>
      <c r="D5" s="1"/>
      <c r="E5" s="1"/>
      <c r="F5" s="1"/>
      <c r="G5" s="1"/>
      <c r="H5" s="1"/>
      <c r="I5" s="95" t="s">
        <v>37</v>
      </c>
      <c r="J5" s="1"/>
      <c r="K5" s="1"/>
      <c r="L5" s="1"/>
    </row>
    <row r="6" spans="1:12" s="43" customFormat="1" ht="18" customHeight="1" x14ac:dyDescent="0.2">
      <c r="A6" s="38" t="s">
        <v>0</v>
      </c>
      <c r="B6" s="39" t="s">
        <v>1</v>
      </c>
      <c r="C6" s="40" t="s">
        <v>2</v>
      </c>
      <c r="D6" s="39" t="s">
        <v>3</v>
      </c>
      <c r="E6" s="39" t="s">
        <v>4</v>
      </c>
      <c r="F6" s="39" t="s">
        <v>5</v>
      </c>
      <c r="G6" s="40" t="s">
        <v>6</v>
      </c>
      <c r="H6" s="39" t="s">
        <v>7</v>
      </c>
      <c r="I6" s="39" t="s">
        <v>8</v>
      </c>
      <c r="J6" s="40" t="s">
        <v>9</v>
      </c>
      <c r="K6" s="41" t="s">
        <v>1</v>
      </c>
      <c r="L6" s="42" t="s">
        <v>10</v>
      </c>
    </row>
    <row r="7" spans="1:12" s="43" customFormat="1" ht="12" x14ac:dyDescent="0.2">
      <c r="A7" s="44"/>
      <c r="B7" s="45"/>
      <c r="C7" s="46"/>
      <c r="D7" s="45"/>
      <c r="E7" s="45"/>
      <c r="F7" s="45"/>
      <c r="G7" s="46"/>
      <c r="H7" s="45"/>
      <c r="I7" s="45"/>
      <c r="J7" s="46"/>
      <c r="K7" s="47" t="s">
        <v>11</v>
      </c>
      <c r="L7" s="48" t="s">
        <v>12</v>
      </c>
    </row>
    <row r="8" spans="1:12" s="43" customFormat="1" ht="18" customHeight="1" x14ac:dyDescent="0.2">
      <c r="A8" s="49" t="s">
        <v>15</v>
      </c>
      <c r="B8" s="50">
        <v>150000</v>
      </c>
      <c r="C8" s="51">
        <v>685111</v>
      </c>
      <c r="D8" s="52">
        <v>140635</v>
      </c>
      <c r="E8" s="51">
        <v>0</v>
      </c>
      <c r="F8" s="51">
        <f>D8-E8</f>
        <v>140635</v>
      </c>
      <c r="G8" s="51">
        <v>430</v>
      </c>
      <c r="H8" s="51">
        <v>99150</v>
      </c>
      <c r="I8" s="53">
        <v>0</v>
      </c>
      <c r="J8" s="51">
        <f>C8+D8-E8-G8-H8-I8</f>
        <v>726166</v>
      </c>
      <c r="K8" s="54">
        <f>F8*100/B8</f>
        <v>93.756666666666661</v>
      </c>
      <c r="L8" s="55">
        <f>F8*100/F20</f>
        <v>10.810492946486772</v>
      </c>
    </row>
    <row r="9" spans="1:12" s="43" customFormat="1" ht="18" customHeight="1" x14ac:dyDescent="0.2">
      <c r="A9" s="56" t="s">
        <v>16</v>
      </c>
      <c r="B9" s="51">
        <v>250000</v>
      </c>
      <c r="C9" s="51">
        <v>726166</v>
      </c>
      <c r="D9" s="52">
        <v>257380</v>
      </c>
      <c r="E9" s="57"/>
      <c r="F9" s="51">
        <f t="shared" ref="F9:F19" si="0">D9-E9</f>
        <v>257380</v>
      </c>
      <c r="G9" s="51">
        <v>15150</v>
      </c>
      <c r="H9" s="51">
        <v>164340</v>
      </c>
      <c r="I9" s="51">
        <v>0</v>
      </c>
      <c r="J9" s="51">
        <f t="shared" ref="J9:J18" si="1">C9+D9-E9-G9-H9-I9</f>
        <v>804056</v>
      </c>
      <c r="K9" s="54">
        <f t="shared" ref="K9:K19" si="2">F9*100/B9</f>
        <v>102.952</v>
      </c>
      <c r="L9" s="55">
        <f>F9*100/F20</f>
        <v>19.78458189331792</v>
      </c>
    </row>
    <row r="10" spans="1:12" s="43" customFormat="1" ht="18" customHeight="1" x14ac:dyDescent="0.2">
      <c r="A10" s="56" t="s">
        <v>17</v>
      </c>
      <c r="B10" s="51">
        <v>250000</v>
      </c>
      <c r="C10" s="51">
        <v>804056</v>
      </c>
      <c r="D10" s="52">
        <v>321745</v>
      </c>
      <c r="E10" s="57"/>
      <c r="F10" s="51">
        <f t="shared" si="0"/>
        <v>321745</v>
      </c>
      <c r="G10" s="51">
        <v>570</v>
      </c>
      <c r="H10" s="51">
        <v>260780</v>
      </c>
      <c r="I10" s="51">
        <v>0</v>
      </c>
      <c r="J10" s="51">
        <f t="shared" si="1"/>
        <v>864451</v>
      </c>
      <c r="K10" s="54">
        <f t="shared" si="2"/>
        <v>128.69800000000001</v>
      </c>
      <c r="L10" s="55">
        <f>F10*100/F20</f>
        <v>24.732264749652551</v>
      </c>
    </row>
    <row r="11" spans="1:12" s="43" customFormat="1" ht="18" customHeight="1" x14ac:dyDescent="0.2">
      <c r="A11" s="56" t="s">
        <v>18</v>
      </c>
      <c r="B11" s="51">
        <v>275000</v>
      </c>
      <c r="C11" s="51">
        <v>864451</v>
      </c>
      <c r="D11" s="52">
        <v>268322</v>
      </c>
      <c r="E11" s="51">
        <v>0</v>
      </c>
      <c r="F11" s="51">
        <f t="shared" si="0"/>
        <v>268322</v>
      </c>
      <c r="G11" s="51">
        <v>20670</v>
      </c>
      <c r="H11" s="51">
        <v>218930</v>
      </c>
      <c r="I11" s="51">
        <v>0</v>
      </c>
      <c r="J11" s="51">
        <f t="shared" si="1"/>
        <v>893173</v>
      </c>
      <c r="K11" s="54">
        <f t="shared" si="2"/>
        <v>97.571636363636358</v>
      </c>
      <c r="L11" s="55">
        <f>F11*100/F20</f>
        <v>20.625684135437293</v>
      </c>
    </row>
    <row r="12" spans="1:12" s="43" customFormat="1" ht="18" customHeight="1" x14ac:dyDescent="0.2">
      <c r="A12" s="49" t="s">
        <v>27</v>
      </c>
      <c r="B12" s="50">
        <v>275000</v>
      </c>
      <c r="C12" s="51">
        <v>893173</v>
      </c>
      <c r="D12" s="52">
        <v>312830</v>
      </c>
      <c r="E12" s="51"/>
      <c r="F12" s="51">
        <f t="shared" si="0"/>
        <v>312830</v>
      </c>
      <c r="G12" s="51">
        <v>31670</v>
      </c>
      <c r="H12" s="51">
        <v>285130</v>
      </c>
      <c r="I12" s="51"/>
      <c r="J12" s="51">
        <f t="shared" si="1"/>
        <v>889203</v>
      </c>
      <c r="K12" s="54">
        <f t="shared" si="2"/>
        <v>113.75636363636363</v>
      </c>
      <c r="L12" s="55">
        <f>F12*100/F20</f>
        <v>24.046976275105465</v>
      </c>
    </row>
    <row r="13" spans="1:12" s="43" customFormat="1" ht="18" customHeight="1" x14ac:dyDescent="0.2">
      <c r="A13" s="56" t="s">
        <v>20</v>
      </c>
      <c r="B13" s="51"/>
      <c r="C13" s="51"/>
      <c r="D13" s="52"/>
      <c r="E13" s="51"/>
      <c r="F13" s="51">
        <f t="shared" si="0"/>
        <v>0</v>
      </c>
      <c r="G13" s="51"/>
      <c r="H13" s="51"/>
      <c r="I13" s="51"/>
      <c r="J13" s="51">
        <f t="shared" si="1"/>
        <v>0</v>
      </c>
      <c r="K13" s="54" t="e">
        <f t="shared" si="2"/>
        <v>#DIV/0!</v>
      </c>
      <c r="L13" s="55">
        <f>F13*100/F20</f>
        <v>0</v>
      </c>
    </row>
    <row r="14" spans="1:12" s="43" customFormat="1" ht="18" customHeight="1" x14ac:dyDescent="0.2">
      <c r="A14" s="56" t="s">
        <v>21</v>
      </c>
      <c r="B14" s="51"/>
      <c r="C14" s="51"/>
      <c r="D14" s="52"/>
      <c r="E14" s="51"/>
      <c r="F14" s="51">
        <f t="shared" si="0"/>
        <v>0</v>
      </c>
      <c r="G14" s="51"/>
      <c r="H14" s="51"/>
      <c r="I14" s="51"/>
      <c r="J14" s="51">
        <f t="shared" si="1"/>
        <v>0</v>
      </c>
      <c r="K14" s="54" t="e">
        <f t="shared" si="2"/>
        <v>#DIV/0!</v>
      </c>
      <c r="L14" s="55">
        <f>F14*100/F20</f>
        <v>0</v>
      </c>
    </row>
    <row r="15" spans="1:12" s="43" customFormat="1" ht="18" customHeight="1" x14ac:dyDescent="0.2">
      <c r="A15" s="49" t="s">
        <v>22</v>
      </c>
      <c r="B15" s="51"/>
      <c r="C15" s="51"/>
      <c r="D15" s="52"/>
      <c r="E15" s="51"/>
      <c r="F15" s="51">
        <f t="shared" si="0"/>
        <v>0</v>
      </c>
      <c r="G15" s="51"/>
      <c r="H15" s="51"/>
      <c r="I15" s="53"/>
      <c r="J15" s="51">
        <f t="shared" si="1"/>
        <v>0</v>
      </c>
      <c r="K15" s="54" t="e">
        <f t="shared" si="2"/>
        <v>#DIV/0!</v>
      </c>
      <c r="L15" s="55">
        <f>F15*100/F20</f>
        <v>0</v>
      </c>
    </row>
    <row r="16" spans="1:12" s="43" customFormat="1" ht="18" customHeight="1" x14ac:dyDescent="0.2">
      <c r="A16" s="59" t="s">
        <v>23</v>
      </c>
      <c r="B16" s="51"/>
      <c r="C16" s="51"/>
      <c r="D16" s="52"/>
      <c r="E16" s="51"/>
      <c r="F16" s="51">
        <f t="shared" si="0"/>
        <v>0</v>
      </c>
      <c r="G16" s="51"/>
      <c r="H16" s="51"/>
      <c r="I16" s="51"/>
      <c r="J16" s="51">
        <f t="shared" si="1"/>
        <v>0</v>
      </c>
      <c r="K16" s="54" t="e">
        <f t="shared" si="2"/>
        <v>#DIV/0!</v>
      </c>
      <c r="L16" s="55">
        <f>F16*100/F20</f>
        <v>0</v>
      </c>
    </row>
    <row r="17" spans="1:12" s="43" customFormat="1" ht="18" customHeight="1" x14ac:dyDescent="0.2">
      <c r="A17" s="50" t="s">
        <v>24</v>
      </c>
      <c r="B17" s="50"/>
      <c r="C17" s="51"/>
      <c r="D17" s="52"/>
      <c r="E17" s="51"/>
      <c r="F17" s="51">
        <f t="shared" si="0"/>
        <v>0</v>
      </c>
      <c r="G17" s="51"/>
      <c r="H17" s="51"/>
      <c r="I17" s="51"/>
      <c r="J17" s="51">
        <f t="shared" si="1"/>
        <v>0</v>
      </c>
      <c r="K17" s="54" t="e">
        <f t="shared" si="2"/>
        <v>#DIV/0!</v>
      </c>
      <c r="L17" s="55">
        <f>F17*100/F20</f>
        <v>0</v>
      </c>
    </row>
    <row r="18" spans="1:12" s="43" customFormat="1" ht="18" customHeight="1" x14ac:dyDescent="0.2">
      <c r="A18" s="50" t="s">
        <v>25</v>
      </c>
      <c r="B18" s="50"/>
      <c r="C18" s="51"/>
      <c r="D18" s="52"/>
      <c r="E18" s="51"/>
      <c r="F18" s="51">
        <f t="shared" si="0"/>
        <v>0</v>
      </c>
      <c r="G18" s="51"/>
      <c r="H18" s="51"/>
      <c r="I18" s="51"/>
      <c r="J18" s="51">
        <f t="shared" si="1"/>
        <v>0</v>
      </c>
      <c r="K18" s="54" t="e">
        <f t="shared" si="2"/>
        <v>#DIV/0!</v>
      </c>
      <c r="L18" s="55">
        <f>F18*100/F20</f>
        <v>0</v>
      </c>
    </row>
    <row r="19" spans="1:12" s="43" customFormat="1" ht="18" customHeight="1" x14ac:dyDescent="0.2">
      <c r="A19" s="50" t="s">
        <v>26</v>
      </c>
      <c r="B19" s="50"/>
      <c r="C19" s="51"/>
      <c r="D19" s="52"/>
      <c r="E19" s="51"/>
      <c r="F19" s="51">
        <f t="shared" si="0"/>
        <v>0</v>
      </c>
      <c r="G19" s="51"/>
      <c r="H19" s="51"/>
      <c r="I19" s="51"/>
      <c r="J19" s="51">
        <f>C19+D19-E19-G19-H19-I19</f>
        <v>0</v>
      </c>
      <c r="K19" s="54" t="e">
        <f t="shared" si="2"/>
        <v>#DIV/0!</v>
      </c>
      <c r="L19" s="55">
        <f>F19*100/F20</f>
        <v>0</v>
      </c>
    </row>
    <row r="20" spans="1:12" s="162" customFormat="1" ht="16.5" customHeight="1" x14ac:dyDescent="0.2">
      <c r="A20" s="158" t="s">
        <v>13</v>
      </c>
      <c r="B20" s="158">
        <f>SUM(B8:B19)</f>
        <v>1200000</v>
      </c>
      <c r="C20" s="158">
        <f>C8</f>
        <v>685111</v>
      </c>
      <c r="D20" s="159">
        <f t="shared" ref="D20:I20" si="3">SUM(D8:D19)</f>
        <v>1300912</v>
      </c>
      <c r="E20" s="158">
        <f t="shared" si="3"/>
        <v>0</v>
      </c>
      <c r="F20" s="158">
        <f>SUM(F8:F19)</f>
        <v>1300912</v>
      </c>
      <c r="G20" s="158">
        <f t="shared" si="3"/>
        <v>68490</v>
      </c>
      <c r="H20" s="158">
        <f t="shared" si="3"/>
        <v>1028330</v>
      </c>
      <c r="I20" s="158">
        <f t="shared" si="3"/>
        <v>0</v>
      </c>
      <c r="J20" s="158">
        <f>J12</f>
        <v>889203</v>
      </c>
      <c r="K20" s="160">
        <f>(K8+K9+K10+K11+K12)/5</f>
        <v>107.34693333333333</v>
      </c>
      <c r="L20" s="161"/>
    </row>
    <row r="21" spans="1:12" s="66" customFormat="1" x14ac:dyDescent="0.25">
      <c r="A21"/>
      <c r="B21"/>
      <c r="C21"/>
      <c r="D21"/>
      <c r="E21"/>
      <c r="F21"/>
      <c r="G21"/>
      <c r="H21"/>
      <c r="I21"/>
      <c r="J21"/>
      <c r="K21"/>
      <c r="L21"/>
    </row>
    <row r="22" spans="1:12" s="66" customFormat="1" x14ac:dyDescent="0.2">
      <c r="A22" s="87" t="s">
        <v>31</v>
      </c>
      <c r="B22" s="5"/>
      <c r="C22" s="5"/>
      <c r="D22" s="78">
        <f>F20/5</f>
        <v>260182.39999999999</v>
      </c>
      <c r="E22" s="5"/>
      <c r="F22" s="67"/>
      <c r="G22" s="67"/>
      <c r="H22" s="67"/>
      <c r="I22" s="67"/>
      <c r="J22" s="73"/>
      <c r="K22" s="67"/>
      <c r="L22" s="67"/>
    </row>
    <row r="23" spans="1:12" x14ac:dyDescent="0.25">
      <c r="A23" s="87" t="s">
        <v>30</v>
      </c>
      <c r="B23" s="5"/>
      <c r="C23" s="5"/>
      <c r="D23" s="78">
        <f>B20/5</f>
        <v>240000</v>
      </c>
      <c r="E23" s="5"/>
      <c r="F23" s="66"/>
      <c r="G23" s="66"/>
      <c r="H23" s="66"/>
      <c r="I23" s="66"/>
      <c r="J23" s="73"/>
      <c r="K23" s="66"/>
      <c r="L23" s="66"/>
    </row>
    <row r="24" spans="1:12" s="66" customFormat="1" x14ac:dyDescent="0.25">
      <c r="A24" s="87" t="s">
        <v>28</v>
      </c>
      <c r="B24" s="5"/>
      <c r="C24" s="5"/>
      <c r="D24" s="78">
        <f>H20/5</f>
        <v>205666</v>
      </c>
      <c r="E24" s="5"/>
      <c r="F24"/>
      <c r="G24"/>
      <c r="H24"/>
      <c r="I24"/>
      <c r="J24" s="76"/>
      <c r="K24"/>
      <c r="L24"/>
    </row>
    <row r="25" spans="1:12" s="66" customFormat="1" x14ac:dyDescent="0.2">
      <c r="A25" s="87" t="s">
        <v>29</v>
      </c>
      <c r="B25" s="5"/>
      <c r="C25" s="5"/>
      <c r="D25" s="6">
        <v>1.0734999999999999</v>
      </c>
      <c r="E25" s="5"/>
      <c r="J25" s="73"/>
    </row>
    <row r="26" spans="1:12" x14ac:dyDescent="0.25">
      <c r="A26" s="87" t="s">
        <v>32</v>
      </c>
      <c r="B26" s="5"/>
      <c r="C26" s="5"/>
      <c r="D26" s="5"/>
      <c r="E26" s="5"/>
      <c r="F26" s="66"/>
      <c r="G26" s="66"/>
      <c r="H26" s="66"/>
      <c r="I26" s="66"/>
      <c r="J26" s="66"/>
      <c r="K26" s="66"/>
      <c r="L26" s="66"/>
    </row>
    <row r="27" spans="1:12" x14ac:dyDescent="0.25">
      <c r="D27" s="83"/>
    </row>
    <row r="28" spans="1:12" x14ac:dyDescent="0.25">
      <c r="J28" s="86" t="s">
        <v>49</v>
      </c>
    </row>
    <row r="29" spans="1:12" x14ac:dyDescent="0.25">
      <c r="J29" s="86" t="s">
        <v>50</v>
      </c>
    </row>
  </sheetData>
  <mergeCells count="4">
    <mergeCell ref="A1:L1"/>
    <mergeCell ref="A2:L2"/>
    <mergeCell ref="A3:L3"/>
    <mergeCell ref="A4:L4"/>
  </mergeCells>
  <pageMargins left="0.25" right="0" top="0.75" bottom="0.75" header="0.3" footer="0.3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0"/>
  <sheetViews>
    <sheetView view="pageLayout" topLeftCell="A11" zoomScaleNormal="100" workbookViewId="0">
      <selection activeCell="B21" sqref="B21"/>
    </sheetView>
  </sheetViews>
  <sheetFormatPr defaultRowHeight="15" x14ac:dyDescent="0.25"/>
  <cols>
    <col min="1" max="1" width="10.85546875" bestFit="1" customWidth="1"/>
    <col min="2" max="2" width="12.42578125" bestFit="1" customWidth="1"/>
    <col min="3" max="3" width="13.85546875" bestFit="1" customWidth="1"/>
    <col min="4" max="4" width="12.42578125" bestFit="1" customWidth="1"/>
    <col min="5" max="5" width="10.42578125" customWidth="1"/>
    <col min="6" max="7" width="12.42578125" bestFit="1" customWidth="1"/>
    <col min="8" max="8" width="11" bestFit="1" customWidth="1"/>
    <col min="9" max="9" width="10.5703125" customWidth="1"/>
    <col min="10" max="10" width="12.42578125" bestFit="1" customWidth="1"/>
    <col min="11" max="11" width="15" bestFit="1" customWidth="1"/>
    <col min="12" max="12" width="11.28515625" customWidth="1"/>
  </cols>
  <sheetData>
    <row r="1" spans="1:12" ht="30" x14ac:dyDescent="0.25">
      <c r="A1" s="169" t="s">
        <v>14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</row>
    <row r="2" spans="1:12" x14ac:dyDescent="0.25">
      <c r="A2" s="170" t="s">
        <v>51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</row>
    <row r="3" spans="1:12" ht="20.25" x14ac:dyDescent="0.25">
      <c r="A3" s="171" t="s">
        <v>55</v>
      </c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</row>
    <row r="4" spans="1:12" s="43" customFormat="1" ht="20.25" x14ac:dyDescent="0.2">
      <c r="A4" s="172" t="s">
        <v>53</v>
      </c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</row>
    <row r="5" spans="1:12" s="43" customFormat="1" ht="16.5" customHeight="1" x14ac:dyDescent="0.2">
      <c r="A5" s="75"/>
      <c r="B5" s="75"/>
      <c r="C5" s="75"/>
      <c r="D5" s="75"/>
      <c r="E5" s="75"/>
      <c r="F5" s="75"/>
      <c r="G5" s="75"/>
      <c r="H5" s="75"/>
      <c r="I5" s="89" t="s">
        <v>56</v>
      </c>
      <c r="J5" s="75"/>
      <c r="K5" s="75"/>
      <c r="L5" s="75"/>
    </row>
    <row r="6" spans="1:12" s="43" customFormat="1" ht="12" x14ac:dyDescent="0.2">
      <c r="A6" s="10" t="s">
        <v>0</v>
      </c>
      <c r="B6" s="11" t="s">
        <v>1</v>
      </c>
      <c r="C6" s="12" t="s">
        <v>2</v>
      </c>
      <c r="D6" s="11" t="s">
        <v>3</v>
      </c>
      <c r="E6" s="11" t="s">
        <v>4</v>
      </c>
      <c r="F6" s="11" t="s">
        <v>5</v>
      </c>
      <c r="G6" s="12" t="s">
        <v>6</v>
      </c>
      <c r="H6" s="11" t="s">
        <v>7</v>
      </c>
      <c r="I6" s="11" t="s">
        <v>8</v>
      </c>
      <c r="J6" s="12" t="s">
        <v>9</v>
      </c>
      <c r="K6" s="13" t="s">
        <v>1</v>
      </c>
      <c r="L6" s="14" t="s">
        <v>10</v>
      </c>
    </row>
    <row r="7" spans="1:12" s="43" customFormat="1" ht="16.5" customHeight="1" x14ac:dyDescent="0.2">
      <c r="A7" s="16"/>
      <c r="B7" s="17"/>
      <c r="C7" s="18"/>
      <c r="D7" s="17"/>
      <c r="E7" s="17"/>
      <c r="F7" s="17"/>
      <c r="G7" s="18"/>
      <c r="H7" s="17"/>
      <c r="I7" s="17"/>
      <c r="J7" s="18"/>
      <c r="K7" s="19" t="s">
        <v>11</v>
      </c>
      <c r="L7" s="20" t="s">
        <v>12</v>
      </c>
    </row>
    <row r="8" spans="1:12" s="43" customFormat="1" ht="16.5" customHeight="1" x14ac:dyDescent="0.2">
      <c r="A8" s="21" t="s">
        <v>15</v>
      </c>
      <c r="B8" s="32">
        <v>175000</v>
      </c>
      <c r="C8" s="22">
        <v>874460</v>
      </c>
      <c r="D8" s="23">
        <v>0</v>
      </c>
      <c r="E8" s="22">
        <v>21157</v>
      </c>
      <c r="F8" s="22">
        <f>D8-E8</f>
        <v>-21157</v>
      </c>
      <c r="G8" s="22">
        <v>13110</v>
      </c>
      <c r="H8" s="22">
        <v>60500</v>
      </c>
      <c r="I8" s="24">
        <v>65195</v>
      </c>
      <c r="J8" s="22">
        <f>C8+D8-E8-G8-H8-I8</f>
        <v>714498</v>
      </c>
      <c r="K8" s="25">
        <f>F8*100/B8</f>
        <v>-12.089714285714285</v>
      </c>
      <c r="L8" s="70">
        <f>F8*100/F20</f>
        <v>-4.5927283068099678</v>
      </c>
    </row>
    <row r="9" spans="1:12" s="43" customFormat="1" ht="16.5" customHeight="1" x14ac:dyDescent="0.2">
      <c r="A9" s="21" t="s">
        <v>16</v>
      </c>
      <c r="B9" s="22">
        <v>250000</v>
      </c>
      <c r="C9" s="22">
        <v>714498</v>
      </c>
      <c r="D9" s="23">
        <v>133580</v>
      </c>
      <c r="E9" s="29">
        <v>1560</v>
      </c>
      <c r="F9" s="22">
        <f t="shared" ref="F9:F19" si="0">D9-E9</f>
        <v>132020</v>
      </c>
      <c r="G9" s="22">
        <v>5110</v>
      </c>
      <c r="H9" s="22">
        <v>16400</v>
      </c>
      <c r="I9" s="22">
        <v>0</v>
      </c>
      <c r="J9" s="22">
        <f t="shared" ref="J9:J19" si="1">C9+D9-E9-G9-H9-I9</f>
        <v>825008</v>
      </c>
      <c r="K9" s="25">
        <f t="shared" ref="K9:K19" si="2">F9*100/B9</f>
        <v>52.808</v>
      </c>
      <c r="L9" s="70">
        <f>F9*100/F20</f>
        <v>28.658694099591241</v>
      </c>
    </row>
    <row r="10" spans="1:12" s="43" customFormat="1" ht="16.5" customHeight="1" x14ac:dyDescent="0.2">
      <c r="A10" s="21" t="s">
        <v>17</v>
      </c>
      <c r="B10" s="22">
        <v>250000</v>
      </c>
      <c r="C10" s="22">
        <v>825008</v>
      </c>
      <c r="D10" s="23">
        <v>147450</v>
      </c>
      <c r="E10" s="29">
        <v>0</v>
      </c>
      <c r="F10" s="22">
        <f t="shared" si="0"/>
        <v>147450</v>
      </c>
      <c r="G10" s="22">
        <v>45655</v>
      </c>
      <c r="H10" s="22">
        <v>115020</v>
      </c>
      <c r="I10" s="22">
        <v>0</v>
      </c>
      <c r="J10" s="22">
        <f t="shared" si="1"/>
        <v>811783</v>
      </c>
      <c r="K10" s="25">
        <f t="shared" si="2"/>
        <v>58.98</v>
      </c>
      <c r="L10" s="70">
        <f>F10*100/F20</f>
        <v>32.008214247725562</v>
      </c>
    </row>
    <row r="11" spans="1:12" s="43" customFormat="1" ht="16.5" customHeight="1" x14ac:dyDescent="0.2">
      <c r="A11" s="21" t="s">
        <v>18</v>
      </c>
      <c r="B11" s="22">
        <v>275000</v>
      </c>
      <c r="C11" s="22">
        <v>811783</v>
      </c>
      <c r="D11" s="23">
        <v>0</v>
      </c>
      <c r="E11" s="22">
        <v>0</v>
      </c>
      <c r="F11" s="22">
        <f t="shared" si="0"/>
        <v>0</v>
      </c>
      <c r="G11" s="22">
        <v>0</v>
      </c>
      <c r="H11" s="22">
        <v>0</v>
      </c>
      <c r="I11" s="22">
        <v>0</v>
      </c>
      <c r="J11" s="22">
        <f t="shared" si="1"/>
        <v>811783</v>
      </c>
      <c r="K11" s="25">
        <f t="shared" si="2"/>
        <v>0</v>
      </c>
      <c r="L11" s="70">
        <f>F11*100/F20</f>
        <v>0</v>
      </c>
    </row>
    <row r="12" spans="1:12" s="43" customFormat="1" ht="16.5" customHeight="1" x14ac:dyDescent="0.2">
      <c r="A12" s="21" t="s">
        <v>27</v>
      </c>
      <c r="B12" s="22">
        <v>250000</v>
      </c>
      <c r="C12" s="22">
        <v>1002344</v>
      </c>
      <c r="D12" s="23">
        <v>203800</v>
      </c>
      <c r="E12" s="22">
        <v>1450</v>
      </c>
      <c r="F12" s="22">
        <f t="shared" si="0"/>
        <v>202350</v>
      </c>
      <c r="G12" s="22">
        <v>0</v>
      </c>
      <c r="H12" s="22">
        <v>253000</v>
      </c>
      <c r="I12" s="22"/>
      <c r="J12" s="22">
        <f t="shared" si="1"/>
        <v>951694</v>
      </c>
      <c r="K12" s="25">
        <f t="shared" si="2"/>
        <v>80.94</v>
      </c>
      <c r="L12" s="70">
        <f>F12*100/F20</f>
        <v>43.925819959493168</v>
      </c>
    </row>
    <row r="13" spans="1:12" s="43" customFormat="1" ht="16.5" customHeight="1" x14ac:dyDescent="0.2">
      <c r="A13" s="21" t="s">
        <v>20</v>
      </c>
      <c r="B13" s="22"/>
      <c r="C13" s="22"/>
      <c r="D13" s="23"/>
      <c r="E13" s="22"/>
      <c r="F13" s="22">
        <f t="shared" si="0"/>
        <v>0</v>
      </c>
      <c r="G13" s="22"/>
      <c r="H13" s="22"/>
      <c r="I13" s="22"/>
      <c r="J13" s="22">
        <f t="shared" si="1"/>
        <v>0</v>
      </c>
      <c r="K13" s="25" t="e">
        <f t="shared" si="2"/>
        <v>#DIV/0!</v>
      </c>
      <c r="L13" s="70">
        <f>F13*100/F20</f>
        <v>0</v>
      </c>
    </row>
    <row r="14" spans="1:12" s="43" customFormat="1" ht="16.5" customHeight="1" x14ac:dyDescent="0.2">
      <c r="A14" s="21" t="s">
        <v>21</v>
      </c>
      <c r="B14" s="22"/>
      <c r="C14" s="22"/>
      <c r="D14" s="23"/>
      <c r="E14" s="22"/>
      <c r="F14" s="22">
        <f t="shared" si="0"/>
        <v>0</v>
      </c>
      <c r="G14" s="22"/>
      <c r="H14" s="22"/>
      <c r="I14" s="22"/>
      <c r="J14" s="22">
        <f t="shared" si="1"/>
        <v>0</v>
      </c>
      <c r="K14" s="25" t="e">
        <f t="shared" si="2"/>
        <v>#DIV/0!</v>
      </c>
      <c r="L14" s="70">
        <f>F14*100/F20</f>
        <v>0</v>
      </c>
    </row>
    <row r="15" spans="1:12" s="43" customFormat="1" ht="16.5" customHeight="1" x14ac:dyDescent="0.2">
      <c r="A15" s="21" t="s">
        <v>22</v>
      </c>
      <c r="B15" s="22"/>
      <c r="C15" s="22"/>
      <c r="D15" s="23"/>
      <c r="E15" s="22"/>
      <c r="F15" s="22">
        <f t="shared" si="0"/>
        <v>0</v>
      </c>
      <c r="G15" s="22"/>
      <c r="H15" s="22"/>
      <c r="I15" s="24"/>
      <c r="J15" s="22">
        <f t="shared" si="1"/>
        <v>0</v>
      </c>
      <c r="K15" s="25" t="e">
        <f t="shared" si="2"/>
        <v>#DIV/0!</v>
      </c>
      <c r="L15" s="70">
        <f>F15*100/F20</f>
        <v>0</v>
      </c>
    </row>
    <row r="16" spans="1:12" s="43" customFormat="1" ht="16.5" customHeight="1" x14ac:dyDescent="0.2">
      <c r="A16" s="21" t="s">
        <v>23</v>
      </c>
      <c r="B16" s="22"/>
      <c r="C16" s="22"/>
      <c r="D16" s="23"/>
      <c r="E16" s="22"/>
      <c r="F16" s="22">
        <f t="shared" si="0"/>
        <v>0</v>
      </c>
      <c r="G16" s="22"/>
      <c r="H16" s="22"/>
      <c r="I16" s="22"/>
      <c r="J16" s="22">
        <f t="shared" si="1"/>
        <v>0</v>
      </c>
      <c r="K16" s="25" t="e">
        <f t="shared" si="2"/>
        <v>#DIV/0!</v>
      </c>
      <c r="L16" s="70">
        <f>F16*100/F20</f>
        <v>0</v>
      </c>
    </row>
    <row r="17" spans="1:25" s="43" customFormat="1" ht="16.5" customHeight="1" x14ac:dyDescent="0.2">
      <c r="A17" s="21" t="s">
        <v>24</v>
      </c>
      <c r="B17" s="32"/>
      <c r="C17" s="22"/>
      <c r="D17" s="23"/>
      <c r="E17" s="22"/>
      <c r="F17" s="22">
        <f t="shared" si="0"/>
        <v>0</v>
      </c>
      <c r="G17" s="22"/>
      <c r="H17" s="22"/>
      <c r="I17" s="22"/>
      <c r="J17" s="22">
        <f t="shared" si="1"/>
        <v>0</v>
      </c>
      <c r="K17" s="25" t="e">
        <f t="shared" si="2"/>
        <v>#DIV/0!</v>
      </c>
      <c r="L17" s="70">
        <f>F17*100/F20</f>
        <v>0</v>
      </c>
    </row>
    <row r="18" spans="1:25" s="43" customFormat="1" ht="16.5" customHeight="1" x14ac:dyDescent="0.2">
      <c r="A18" s="21" t="s">
        <v>25</v>
      </c>
      <c r="B18" s="32"/>
      <c r="C18" s="22"/>
      <c r="D18" s="23"/>
      <c r="E18" s="22"/>
      <c r="F18" s="22">
        <f t="shared" si="0"/>
        <v>0</v>
      </c>
      <c r="G18" s="22"/>
      <c r="H18" s="22"/>
      <c r="I18" s="22"/>
      <c r="J18" s="22">
        <f t="shared" si="1"/>
        <v>0</v>
      </c>
      <c r="K18" s="25" t="e">
        <f t="shared" si="2"/>
        <v>#DIV/0!</v>
      </c>
      <c r="L18" s="70">
        <f>F18*100/F20</f>
        <v>0</v>
      </c>
    </row>
    <row r="19" spans="1:25" s="43" customFormat="1" ht="16.5" customHeight="1" x14ac:dyDescent="0.2">
      <c r="A19" s="21" t="s">
        <v>26</v>
      </c>
      <c r="B19" s="32"/>
      <c r="C19" s="22"/>
      <c r="D19" s="23"/>
      <c r="E19" s="22"/>
      <c r="F19" s="22">
        <f t="shared" si="0"/>
        <v>0</v>
      </c>
      <c r="G19" s="22"/>
      <c r="H19" s="22"/>
      <c r="I19" s="22"/>
      <c r="J19" s="22">
        <f t="shared" si="1"/>
        <v>0</v>
      </c>
      <c r="K19" s="25" t="e">
        <f t="shared" si="2"/>
        <v>#DIV/0!</v>
      </c>
      <c r="L19" s="70">
        <f>F19*100/F20</f>
        <v>0</v>
      </c>
    </row>
    <row r="20" spans="1:25" s="43" customFormat="1" ht="16.5" customHeight="1" x14ac:dyDescent="0.2">
      <c r="A20" s="9" t="s">
        <v>13</v>
      </c>
      <c r="B20" s="9">
        <f>SUM(B8:B19)</f>
        <v>1200000</v>
      </c>
      <c r="C20" s="9">
        <f>C8</f>
        <v>874460</v>
      </c>
      <c r="D20" s="33">
        <f t="shared" ref="D20:I20" si="3">SUM(D8:D19)</f>
        <v>484830</v>
      </c>
      <c r="E20" s="9">
        <f t="shared" si="3"/>
        <v>24167</v>
      </c>
      <c r="F20" s="9">
        <f t="shared" si="3"/>
        <v>460663</v>
      </c>
      <c r="G20" s="9">
        <f t="shared" si="3"/>
        <v>63875</v>
      </c>
      <c r="H20" s="9">
        <f t="shared" si="3"/>
        <v>444920</v>
      </c>
      <c r="I20" s="9">
        <f t="shared" si="3"/>
        <v>65195</v>
      </c>
      <c r="J20" s="9">
        <f>J12</f>
        <v>951694</v>
      </c>
      <c r="K20" s="35">
        <f>(K8+K9+K10+K11+K12)/5</f>
        <v>36.127657142857139</v>
      </c>
      <c r="L20" s="71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</row>
    <row r="21" spans="1:25" s="66" customFormat="1" x14ac:dyDescent="0.2">
      <c r="A21" s="43"/>
      <c r="B21" s="43"/>
      <c r="C21" s="43"/>
      <c r="D21" s="109"/>
      <c r="E21" s="43"/>
      <c r="F21" s="43"/>
      <c r="G21" s="43"/>
      <c r="H21" s="43"/>
      <c r="I21" s="43"/>
      <c r="J21" s="43"/>
      <c r="K21" s="43"/>
      <c r="L21" s="43"/>
    </row>
    <row r="22" spans="1:25" s="66" customFormat="1" x14ac:dyDescent="0.2">
      <c r="A22" s="87" t="s">
        <v>31</v>
      </c>
      <c r="B22" s="5"/>
      <c r="C22" s="129">
        <f>F20/5</f>
        <v>92132.6</v>
      </c>
      <c r="D22" s="84"/>
      <c r="E22" s="5"/>
      <c r="F22" s="67"/>
      <c r="G22" s="67"/>
      <c r="H22" s="67"/>
      <c r="I22" s="67"/>
      <c r="J22" s="73"/>
      <c r="K22" s="67"/>
      <c r="L22" s="67"/>
    </row>
    <row r="23" spans="1:25" x14ac:dyDescent="0.25">
      <c r="A23" s="87" t="s">
        <v>30</v>
      </c>
      <c r="B23" s="5"/>
      <c r="C23" s="7">
        <f>B20/5</f>
        <v>240000</v>
      </c>
      <c r="D23" s="84"/>
      <c r="E23" s="5"/>
      <c r="F23" s="66"/>
      <c r="G23" s="66"/>
      <c r="H23" s="66"/>
      <c r="I23" s="66"/>
      <c r="J23" s="73"/>
      <c r="K23" s="66"/>
      <c r="L23" s="66"/>
    </row>
    <row r="24" spans="1:25" s="66" customFormat="1" x14ac:dyDescent="0.25">
      <c r="A24" s="87" t="s">
        <v>28</v>
      </c>
      <c r="B24" s="5"/>
      <c r="C24" s="7">
        <f>H20/5</f>
        <v>88984</v>
      </c>
      <c r="D24" s="84"/>
      <c r="E24" s="5"/>
      <c r="F24"/>
      <c r="G24"/>
      <c r="H24"/>
      <c r="I24"/>
      <c r="J24" s="76"/>
      <c r="K24"/>
      <c r="L24"/>
    </row>
    <row r="25" spans="1:25" s="66" customFormat="1" x14ac:dyDescent="0.2">
      <c r="A25" s="87" t="s">
        <v>29</v>
      </c>
      <c r="B25" s="5"/>
      <c r="C25" s="5">
        <v>36.119999999999997</v>
      </c>
      <c r="D25" s="85"/>
      <c r="E25" s="5"/>
      <c r="J25" s="73"/>
    </row>
    <row r="26" spans="1:25" x14ac:dyDescent="0.25">
      <c r="A26" s="87" t="s">
        <v>32</v>
      </c>
      <c r="B26" s="5"/>
      <c r="C26" s="5"/>
      <c r="D26" s="6"/>
      <c r="E26" s="5"/>
      <c r="F26" s="66"/>
      <c r="G26" s="66"/>
      <c r="H26" s="66"/>
      <c r="I26" s="66"/>
      <c r="J26" s="66"/>
      <c r="K26" s="66"/>
      <c r="L26" s="66"/>
    </row>
    <row r="29" spans="1:25" x14ac:dyDescent="0.25">
      <c r="J29" s="86" t="s">
        <v>49</v>
      </c>
    </row>
    <row r="30" spans="1:25" x14ac:dyDescent="0.25">
      <c r="J30" s="86" t="s">
        <v>50</v>
      </c>
    </row>
  </sheetData>
  <mergeCells count="5">
    <mergeCell ref="N20:Y20"/>
    <mergeCell ref="A1:L1"/>
    <mergeCell ref="A2:L2"/>
    <mergeCell ref="A3:L3"/>
    <mergeCell ref="A4:L4"/>
  </mergeCells>
  <phoneticPr fontId="16" type="noConversion"/>
  <pageMargins left="0.25" right="0" top="0.75" bottom="0.75" header="0.3" footer="0.3"/>
  <pageSetup paperSize="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F6FFD-4BF0-4E36-831D-A6C2C117C10D}">
  <dimension ref="A1:L29"/>
  <sheetViews>
    <sheetView view="pageLayout" topLeftCell="A4" zoomScaleNormal="100" workbookViewId="0">
      <selection activeCell="G27" sqref="G27"/>
    </sheetView>
  </sheetViews>
  <sheetFormatPr defaultRowHeight="15" x14ac:dyDescent="0.25"/>
  <cols>
    <col min="1" max="1" width="11.42578125" customWidth="1"/>
    <col min="2" max="2" width="12.85546875" bestFit="1" customWidth="1"/>
    <col min="3" max="3" width="11.140625" bestFit="1" customWidth="1"/>
    <col min="4" max="4" width="12.5703125" bestFit="1" customWidth="1"/>
    <col min="5" max="5" width="10.7109375" customWidth="1"/>
    <col min="6" max="7" width="12.5703125" bestFit="1" customWidth="1"/>
    <col min="8" max="8" width="11.28515625" bestFit="1" customWidth="1"/>
    <col min="9" max="9" width="9.140625" customWidth="1"/>
    <col min="10" max="10" width="12" customWidth="1"/>
    <col min="11" max="11" width="11.85546875" customWidth="1"/>
    <col min="12" max="12" width="9.85546875" bestFit="1" customWidth="1"/>
  </cols>
  <sheetData>
    <row r="1" spans="1:12" ht="30" x14ac:dyDescent="0.25">
      <c r="A1" s="169" t="s">
        <v>14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</row>
    <row r="2" spans="1:12" x14ac:dyDescent="0.25">
      <c r="A2" s="170" t="s">
        <v>51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</row>
    <row r="3" spans="1:12" ht="20.25" x14ac:dyDescent="0.25">
      <c r="A3" s="171" t="s">
        <v>57</v>
      </c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</row>
    <row r="4" spans="1:12" ht="20.25" x14ac:dyDescent="0.25">
      <c r="A4" s="172" t="s">
        <v>53</v>
      </c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</row>
    <row r="5" spans="1:12" ht="16.5" customHeight="1" x14ac:dyDescent="0.25">
      <c r="A5" s="1"/>
      <c r="B5" s="1"/>
      <c r="C5" s="1"/>
      <c r="D5" s="1"/>
      <c r="E5" s="1"/>
      <c r="F5" s="1"/>
      <c r="G5" s="1"/>
      <c r="H5" s="1"/>
      <c r="I5" s="95" t="s">
        <v>42</v>
      </c>
      <c r="J5" s="1"/>
      <c r="K5" s="1"/>
      <c r="L5" s="1"/>
    </row>
    <row r="6" spans="1:12" ht="16.5" customHeight="1" x14ac:dyDescent="0.25">
      <c r="A6" s="38" t="s">
        <v>43</v>
      </c>
      <c r="B6" s="39" t="s">
        <v>1</v>
      </c>
      <c r="C6" s="40" t="s">
        <v>45</v>
      </c>
      <c r="D6" s="39" t="s">
        <v>3</v>
      </c>
      <c r="E6" s="39" t="s">
        <v>47</v>
      </c>
      <c r="F6" s="39" t="s">
        <v>5</v>
      </c>
      <c r="G6" s="40" t="s">
        <v>6</v>
      </c>
      <c r="H6" s="39" t="s">
        <v>7</v>
      </c>
      <c r="I6" s="39" t="s">
        <v>8</v>
      </c>
      <c r="J6" s="40" t="s">
        <v>9</v>
      </c>
      <c r="K6" s="41" t="s">
        <v>1</v>
      </c>
      <c r="L6" s="42" t="s">
        <v>10</v>
      </c>
    </row>
    <row r="7" spans="1:12" ht="16.5" customHeight="1" x14ac:dyDescent="0.25">
      <c r="A7" s="44" t="s">
        <v>44</v>
      </c>
      <c r="B7" s="45"/>
      <c r="C7" s="46" t="s">
        <v>46</v>
      </c>
      <c r="D7" s="45"/>
      <c r="E7" s="45" t="s">
        <v>48</v>
      </c>
      <c r="F7" s="45"/>
      <c r="G7" s="46"/>
      <c r="H7" s="45"/>
      <c r="I7" s="45"/>
      <c r="J7" s="46"/>
      <c r="K7" s="2" t="s">
        <v>11</v>
      </c>
      <c r="L7" s="48" t="s">
        <v>12</v>
      </c>
    </row>
    <row r="8" spans="1:12" ht="16.5" customHeight="1" x14ac:dyDescent="0.25">
      <c r="A8" s="49" t="s">
        <v>15</v>
      </c>
      <c r="B8" s="50">
        <v>150000</v>
      </c>
      <c r="C8" s="51">
        <v>54255</v>
      </c>
      <c r="D8" s="52">
        <v>52265</v>
      </c>
      <c r="E8" s="51">
        <v>0</v>
      </c>
      <c r="F8" s="51">
        <f t="shared" ref="F8:F16" si="0">D8-E8</f>
        <v>52265</v>
      </c>
      <c r="G8" s="51">
        <v>505</v>
      </c>
      <c r="H8" s="51">
        <v>15000</v>
      </c>
      <c r="I8" s="53">
        <v>0</v>
      </c>
      <c r="J8" s="51">
        <f>C8+D8-E8-G8-H8-I8</f>
        <v>91015</v>
      </c>
      <c r="K8" s="54">
        <f>F8*100/B8</f>
        <v>34.843333333333334</v>
      </c>
      <c r="L8" s="55">
        <f>F8*100/F20</f>
        <v>16.503208123879052</v>
      </c>
    </row>
    <row r="9" spans="1:12" ht="16.5" customHeight="1" x14ac:dyDescent="0.25">
      <c r="A9" s="56" t="s">
        <v>16</v>
      </c>
      <c r="B9" s="50">
        <v>250000</v>
      </c>
      <c r="C9" s="51">
        <v>91015</v>
      </c>
      <c r="D9" s="52">
        <v>175370</v>
      </c>
      <c r="E9" s="57"/>
      <c r="F9" s="51">
        <f t="shared" si="0"/>
        <v>175370</v>
      </c>
      <c r="G9" s="51">
        <v>0</v>
      </c>
      <c r="H9" s="51">
        <v>31120</v>
      </c>
      <c r="I9" s="51">
        <v>0</v>
      </c>
      <c r="J9" s="51">
        <f t="shared" ref="J9:J19" si="1">C9+D9-E9-G9-H9-I9</f>
        <v>235265</v>
      </c>
      <c r="K9" s="54">
        <f t="shared" ref="K9:K16" si="2">F9*100/B9</f>
        <v>70.147999999999996</v>
      </c>
      <c r="L9" s="55">
        <f>F9*100/F20</f>
        <v>55.374870538308031</v>
      </c>
    </row>
    <row r="10" spans="1:12" ht="16.5" customHeight="1" x14ac:dyDescent="0.25">
      <c r="A10" s="56" t="s">
        <v>17</v>
      </c>
      <c r="B10" s="50">
        <v>250000</v>
      </c>
      <c r="C10" s="51">
        <v>235265</v>
      </c>
      <c r="D10" s="52">
        <v>103730</v>
      </c>
      <c r="E10" s="57"/>
      <c r="F10" s="51">
        <f t="shared" si="0"/>
        <v>103730</v>
      </c>
      <c r="G10" s="51"/>
      <c r="H10" s="51">
        <v>42850</v>
      </c>
      <c r="I10" s="51">
        <v>0</v>
      </c>
      <c r="J10" s="51">
        <f t="shared" si="1"/>
        <v>296145</v>
      </c>
      <c r="K10" s="54">
        <f t="shared" si="2"/>
        <v>41.491999999999997</v>
      </c>
      <c r="L10" s="55">
        <f>F10*100/F20</f>
        <v>32.753808068305254</v>
      </c>
    </row>
    <row r="11" spans="1:12" ht="16.5" customHeight="1" x14ac:dyDescent="0.25">
      <c r="A11" s="56" t="s">
        <v>18</v>
      </c>
      <c r="B11" s="50">
        <v>275000</v>
      </c>
      <c r="C11" s="51">
        <v>276075</v>
      </c>
      <c r="D11" s="52">
        <v>14400</v>
      </c>
      <c r="E11" s="51">
        <v>0</v>
      </c>
      <c r="F11" s="51">
        <f t="shared" si="0"/>
        <v>14400</v>
      </c>
      <c r="G11" s="51">
        <v>300</v>
      </c>
      <c r="H11" s="51">
        <v>18300</v>
      </c>
      <c r="I11" s="51">
        <v>0</v>
      </c>
      <c r="J11" s="51">
        <f t="shared" si="1"/>
        <v>271875</v>
      </c>
      <c r="K11" s="54">
        <f t="shared" si="2"/>
        <v>5.2363636363636363</v>
      </c>
      <c r="L11" s="55">
        <f>F11*100/F20</f>
        <v>4.5469472301513125</v>
      </c>
    </row>
    <row r="12" spans="1:12" ht="16.5" customHeight="1" x14ac:dyDescent="0.25">
      <c r="A12" s="49" t="s">
        <v>27</v>
      </c>
      <c r="B12" s="50">
        <v>275000</v>
      </c>
      <c r="C12" s="51">
        <v>271875</v>
      </c>
      <c r="D12" s="52">
        <v>37570</v>
      </c>
      <c r="E12" s="51">
        <v>66639</v>
      </c>
      <c r="F12" s="51">
        <f t="shared" si="0"/>
        <v>-29069</v>
      </c>
      <c r="G12" s="51"/>
      <c r="H12" s="51">
        <v>5000</v>
      </c>
      <c r="I12" s="51"/>
      <c r="J12" s="51">
        <f t="shared" si="1"/>
        <v>237806</v>
      </c>
      <c r="K12" s="54">
        <f t="shared" si="2"/>
        <v>-10.570545454545455</v>
      </c>
      <c r="L12" s="55">
        <f>F12*100/F20</f>
        <v>-9.1788339606436455</v>
      </c>
    </row>
    <row r="13" spans="1:12" ht="16.5" customHeight="1" x14ac:dyDescent="0.25">
      <c r="A13" s="56" t="s">
        <v>20</v>
      </c>
      <c r="B13" s="50"/>
      <c r="C13" s="51"/>
      <c r="D13" s="52"/>
      <c r="E13" s="51"/>
      <c r="F13" s="51">
        <f t="shared" si="0"/>
        <v>0</v>
      </c>
      <c r="G13" s="51"/>
      <c r="H13" s="51"/>
      <c r="I13" s="51"/>
      <c r="J13" s="51">
        <f t="shared" si="1"/>
        <v>0</v>
      </c>
      <c r="K13" s="54" t="e">
        <f t="shared" si="2"/>
        <v>#DIV/0!</v>
      </c>
      <c r="L13" s="55">
        <f>F13*100/F20</f>
        <v>0</v>
      </c>
    </row>
    <row r="14" spans="1:12" ht="16.5" customHeight="1" x14ac:dyDescent="0.25">
      <c r="A14" s="56" t="s">
        <v>21</v>
      </c>
      <c r="B14" s="50"/>
      <c r="C14" s="51"/>
      <c r="D14" s="52"/>
      <c r="E14" s="51"/>
      <c r="F14" s="51">
        <f t="shared" si="0"/>
        <v>0</v>
      </c>
      <c r="G14" s="51"/>
      <c r="H14" s="51"/>
      <c r="I14" s="51"/>
      <c r="J14" s="51">
        <f t="shared" si="1"/>
        <v>0</v>
      </c>
      <c r="K14" s="54" t="e">
        <f t="shared" si="2"/>
        <v>#DIV/0!</v>
      </c>
      <c r="L14" s="55">
        <f>F14*100/F20</f>
        <v>0</v>
      </c>
    </row>
    <row r="15" spans="1:12" ht="16.5" customHeight="1" x14ac:dyDescent="0.25">
      <c r="A15" s="49" t="s">
        <v>22</v>
      </c>
      <c r="B15" s="50"/>
      <c r="C15" s="51"/>
      <c r="D15" s="52"/>
      <c r="E15" s="51"/>
      <c r="F15" s="51">
        <f t="shared" si="0"/>
        <v>0</v>
      </c>
      <c r="G15" s="51"/>
      <c r="H15" s="51"/>
      <c r="I15" s="53"/>
      <c r="J15" s="51">
        <f t="shared" si="1"/>
        <v>0</v>
      </c>
      <c r="K15" s="54" t="e">
        <f t="shared" si="2"/>
        <v>#DIV/0!</v>
      </c>
      <c r="L15" s="55">
        <f>F15*100/F20</f>
        <v>0</v>
      </c>
    </row>
    <row r="16" spans="1:12" ht="16.5" customHeight="1" x14ac:dyDescent="0.25">
      <c r="A16" s="59" t="s">
        <v>23</v>
      </c>
      <c r="B16" s="50"/>
      <c r="C16" s="51"/>
      <c r="D16" s="52"/>
      <c r="E16" s="51"/>
      <c r="F16" s="51">
        <f t="shared" si="0"/>
        <v>0</v>
      </c>
      <c r="G16" s="51"/>
      <c r="H16" s="51"/>
      <c r="I16" s="51"/>
      <c r="J16" s="51">
        <f t="shared" si="1"/>
        <v>0</v>
      </c>
      <c r="K16" s="54" t="e">
        <f t="shared" si="2"/>
        <v>#DIV/0!</v>
      </c>
      <c r="L16" s="55">
        <f>F16*100/F20</f>
        <v>0</v>
      </c>
    </row>
    <row r="17" spans="1:12" ht="16.5" customHeight="1" x14ac:dyDescent="0.25">
      <c r="A17" s="50" t="s">
        <v>24</v>
      </c>
      <c r="B17" s="50"/>
      <c r="C17" s="51"/>
      <c r="D17" s="52"/>
      <c r="E17" s="51"/>
      <c r="F17" s="51">
        <f t="shared" ref="F17:F19" si="3">D17-E17</f>
        <v>0</v>
      </c>
      <c r="G17" s="51"/>
      <c r="H17" s="51"/>
      <c r="I17" s="51"/>
      <c r="J17" s="51">
        <f t="shared" si="1"/>
        <v>0</v>
      </c>
      <c r="K17" s="54" t="e">
        <f t="shared" ref="K17:K19" si="4">F17*100/B17</f>
        <v>#DIV/0!</v>
      </c>
      <c r="L17" s="55">
        <f>F17*100/F20</f>
        <v>0</v>
      </c>
    </row>
    <row r="18" spans="1:12" ht="16.5" customHeight="1" x14ac:dyDescent="0.25">
      <c r="A18" s="50" t="s">
        <v>25</v>
      </c>
      <c r="B18" s="50"/>
      <c r="C18" s="51"/>
      <c r="D18" s="52"/>
      <c r="E18" s="51"/>
      <c r="F18" s="51">
        <f t="shared" si="3"/>
        <v>0</v>
      </c>
      <c r="G18" s="51"/>
      <c r="H18" s="51"/>
      <c r="I18" s="51"/>
      <c r="J18" s="51">
        <f t="shared" si="1"/>
        <v>0</v>
      </c>
      <c r="K18" s="54" t="e">
        <f t="shared" si="4"/>
        <v>#DIV/0!</v>
      </c>
      <c r="L18" s="55">
        <f>F18*100/F20</f>
        <v>0</v>
      </c>
    </row>
    <row r="19" spans="1:12" ht="16.5" customHeight="1" x14ac:dyDescent="0.25">
      <c r="A19" s="50" t="s">
        <v>26</v>
      </c>
      <c r="B19" s="50"/>
      <c r="C19" s="51"/>
      <c r="D19" s="52"/>
      <c r="E19" s="51"/>
      <c r="F19" s="51">
        <f t="shared" si="3"/>
        <v>0</v>
      </c>
      <c r="G19" s="51"/>
      <c r="H19" s="51"/>
      <c r="I19" s="51"/>
      <c r="J19" s="51">
        <f t="shared" si="1"/>
        <v>0</v>
      </c>
      <c r="K19" s="54" t="e">
        <f t="shared" si="4"/>
        <v>#DIV/0!</v>
      </c>
      <c r="L19" s="55">
        <f>F19*100/F20</f>
        <v>0</v>
      </c>
    </row>
    <row r="20" spans="1:12" s="162" customFormat="1" ht="16.5" customHeight="1" x14ac:dyDescent="0.2">
      <c r="A20" s="158" t="s">
        <v>13</v>
      </c>
      <c r="B20" s="158">
        <f>SUM(B8:B19)</f>
        <v>1200000</v>
      </c>
      <c r="C20" s="158">
        <f>C8</f>
        <v>54255</v>
      </c>
      <c r="D20" s="159">
        <f>SUM(D8:D19)</f>
        <v>383335</v>
      </c>
      <c r="E20" s="158">
        <f t="shared" ref="E20:I20" si="5">SUM(E8:E19)</f>
        <v>66639</v>
      </c>
      <c r="F20" s="158">
        <f>SUM(F8:F19)</f>
        <v>316696</v>
      </c>
      <c r="G20" s="158">
        <f>SUM(G8:G19)</f>
        <v>805</v>
      </c>
      <c r="H20" s="158">
        <f>SUM(H8:H19)</f>
        <v>112270</v>
      </c>
      <c r="I20" s="158">
        <f t="shared" si="5"/>
        <v>0</v>
      </c>
      <c r="J20" s="158">
        <f>J12</f>
        <v>237806</v>
      </c>
      <c r="K20" s="160">
        <f>(K8+K9+K10+K11+K12)/5</f>
        <v>28.229830303030305</v>
      </c>
      <c r="L20" s="161"/>
    </row>
    <row r="21" spans="1:12" s="66" customFormat="1" ht="16.5" customHeight="1" x14ac:dyDescent="0.25">
      <c r="A21"/>
      <c r="B21"/>
      <c r="C21"/>
      <c r="D21"/>
      <c r="E21"/>
      <c r="F21"/>
      <c r="G21"/>
      <c r="H21"/>
      <c r="I21"/>
      <c r="J21"/>
      <c r="K21"/>
      <c r="L21"/>
    </row>
    <row r="22" spans="1:12" s="66" customFormat="1" ht="16.5" customHeight="1" x14ac:dyDescent="0.2">
      <c r="A22" s="87" t="s">
        <v>31</v>
      </c>
      <c r="B22" s="5"/>
      <c r="C22" s="5"/>
      <c r="D22" s="78">
        <f>F20/5</f>
        <v>63339.199999999997</v>
      </c>
      <c r="E22" s="5"/>
      <c r="F22" s="67"/>
      <c r="G22" s="67"/>
      <c r="H22" s="67"/>
      <c r="I22" s="67"/>
      <c r="J22" s="73"/>
      <c r="K22" s="67"/>
      <c r="L22" s="67"/>
    </row>
    <row r="23" spans="1:12" ht="16.5" customHeight="1" x14ac:dyDescent="0.25">
      <c r="A23" s="87" t="s">
        <v>30</v>
      </c>
      <c r="B23" s="5"/>
      <c r="C23" s="5"/>
      <c r="D23" s="78">
        <f>B20/5</f>
        <v>240000</v>
      </c>
      <c r="E23" s="5"/>
      <c r="F23" s="66"/>
      <c r="G23" s="66"/>
      <c r="H23" s="66"/>
      <c r="I23" s="66"/>
      <c r="J23" s="73"/>
      <c r="K23" s="66"/>
      <c r="L23" s="66"/>
    </row>
    <row r="24" spans="1:12" s="66" customFormat="1" ht="16.5" customHeight="1" x14ac:dyDescent="0.25">
      <c r="A24" s="87" t="s">
        <v>28</v>
      </c>
      <c r="B24" s="5"/>
      <c r="C24" s="5"/>
      <c r="D24" s="78">
        <f>H20/5</f>
        <v>22454</v>
      </c>
      <c r="E24" s="5"/>
      <c r="F24"/>
      <c r="G24"/>
      <c r="H24"/>
      <c r="I24"/>
      <c r="J24" s="76"/>
      <c r="K24"/>
      <c r="L24"/>
    </row>
    <row r="25" spans="1:12" s="66" customFormat="1" ht="16.5" customHeight="1" x14ac:dyDescent="0.2">
      <c r="A25" s="87" t="s">
        <v>29</v>
      </c>
      <c r="B25" s="5"/>
      <c r="C25" s="5"/>
      <c r="D25" s="79">
        <v>0.2823</v>
      </c>
      <c r="E25" s="5"/>
      <c r="J25" s="73"/>
    </row>
    <row r="26" spans="1:12" ht="16.5" customHeight="1" x14ac:dyDescent="0.25">
      <c r="A26" s="87" t="s">
        <v>32</v>
      </c>
      <c r="B26" s="5"/>
      <c r="C26" s="5"/>
      <c r="D26" s="130"/>
      <c r="E26" s="5"/>
      <c r="F26" s="66"/>
      <c r="G26" s="66"/>
      <c r="H26" s="66"/>
      <c r="I26" s="66"/>
      <c r="J26" s="66"/>
      <c r="K26" s="66"/>
      <c r="L26" s="66"/>
    </row>
    <row r="27" spans="1:12" ht="16.5" customHeight="1" x14ac:dyDescent="0.25">
      <c r="A27" s="5"/>
      <c r="J27" s="76"/>
    </row>
    <row r="28" spans="1:12" ht="16.5" customHeight="1" x14ac:dyDescent="0.25">
      <c r="J28" s="86" t="s">
        <v>49</v>
      </c>
    </row>
    <row r="29" spans="1:12" x14ac:dyDescent="0.25">
      <c r="J29" s="86" t="s">
        <v>50</v>
      </c>
    </row>
  </sheetData>
  <mergeCells count="4">
    <mergeCell ref="A1:L1"/>
    <mergeCell ref="A2:L2"/>
    <mergeCell ref="A3:L3"/>
    <mergeCell ref="A4:L4"/>
  </mergeCells>
  <pageMargins left="0.51" right="0.13" top="0.75" bottom="0.75" header="0.3" footer="0.3"/>
  <pageSetup paperSize="9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8"/>
  <sheetViews>
    <sheetView view="pageLayout" topLeftCell="A10" zoomScaleNormal="100" workbookViewId="0">
      <selection activeCell="L8" sqref="L8"/>
    </sheetView>
  </sheetViews>
  <sheetFormatPr defaultRowHeight="15" x14ac:dyDescent="0.25"/>
  <cols>
    <col min="1" max="1" width="9.7109375" customWidth="1"/>
    <col min="2" max="2" width="12.42578125" bestFit="1" customWidth="1"/>
    <col min="3" max="3" width="13.85546875" bestFit="1" customWidth="1"/>
    <col min="4" max="4" width="12.42578125" bestFit="1" customWidth="1"/>
    <col min="5" max="5" width="11" bestFit="1" customWidth="1"/>
    <col min="6" max="8" width="12.42578125" bestFit="1" customWidth="1"/>
    <col min="9" max="9" width="11.42578125" customWidth="1"/>
    <col min="10" max="10" width="12.42578125" bestFit="1" customWidth="1"/>
    <col min="11" max="11" width="15" bestFit="1" customWidth="1"/>
    <col min="12" max="12" width="9.85546875" bestFit="1" customWidth="1"/>
  </cols>
  <sheetData>
    <row r="1" spans="1:12" ht="30" x14ac:dyDescent="0.25">
      <c r="A1" s="169" t="s">
        <v>14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</row>
    <row r="2" spans="1:12" x14ac:dyDescent="0.25">
      <c r="A2" s="170" t="s">
        <v>51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</row>
    <row r="3" spans="1:12" ht="20.25" x14ac:dyDescent="0.25">
      <c r="A3" s="171" t="s">
        <v>58</v>
      </c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</row>
    <row r="4" spans="1:12" ht="20.25" x14ac:dyDescent="0.25">
      <c r="A4" s="172" t="s">
        <v>53</v>
      </c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</row>
    <row r="5" spans="1:12" s="69" customFormat="1" ht="20.25" customHeight="1" x14ac:dyDescent="0.25">
      <c r="A5" s="1"/>
      <c r="B5" s="1"/>
      <c r="C5" s="1"/>
      <c r="D5"/>
      <c r="E5" s="3"/>
      <c r="F5" s="3"/>
      <c r="G5" s="3"/>
      <c r="H5" s="3"/>
      <c r="I5" s="96" t="s">
        <v>38</v>
      </c>
      <c r="J5" s="1"/>
      <c r="K5" s="1"/>
      <c r="L5" s="1"/>
    </row>
    <row r="6" spans="1:12" s="69" customFormat="1" ht="17.25" customHeight="1" x14ac:dyDescent="0.25">
      <c r="A6" s="10" t="s">
        <v>0</v>
      </c>
      <c r="B6" s="11" t="s">
        <v>1</v>
      </c>
      <c r="C6" s="12" t="s">
        <v>2</v>
      </c>
      <c r="D6" s="11" t="s">
        <v>3</v>
      </c>
      <c r="E6" s="11" t="s">
        <v>4</v>
      </c>
      <c r="F6" s="11" t="s">
        <v>5</v>
      </c>
      <c r="G6" s="12" t="s">
        <v>6</v>
      </c>
      <c r="H6" s="11" t="s">
        <v>7</v>
      </c>
      <c r="I6" s="11" t="s">
        <v>8</v>
      </c>
      <c r="J6" s="12" t="s">
        <v>9</v>
      </c>
      <c r="K6" s="13" t="s">
        <v>1</v>
      </c>
      <c r="L6" s="14" t="s">
        <v>10</v>
      </c>
    </row>
    <row r="7" spans="1:12" s="69" customFormat="1" ht="12" x14ac:dyDescent="0.25">
      <c r="A7" s="16"/>
      <c r="B7" s="17"/>
      <c r="C7" s="18"/>
      <c r="D7" s="17"/>
      <c r="E7" s="17"/>
      <c r="F7" s="17"/>
      <c r="G7" s="18"/>
      <c r="H7" s="17"/>
      <c r="I7" s="17"/>
      <c r="J7" s="18"/>
      <c r="K7" s="19" t="s">
        <v>11</v>
      </c>
      <c r="L7" s="20" t="s">
        <v>12</v>
      </c>
    </row>
    <row r="8" spans="1:12" s="69" customFormat="1" ht="20.25" customHeight="1" x14ac:dyDescent="0.25">
      <c r="A8" s="21" t="s">
        <v>15</v>
      </c>
      <c r="B8" s="11">
        <v>500000</v>
      </c>
      <c r="C8" s="22">
        <v>1486841</v>
      </c>
      <c r="D8" s="23">
        <v>908926</v>
      </c>
      <c r="E8" s="22">
        <v>3210</v>
      </c>
      <c r="F8" s="22">
        <f>D8-E8</f>
        <v>905716</v>
      </c>
      <c r="G8" s="22">
        <v>18188</v>
      </c>
      <c r="H8" s="22">
        <v>498280</v>
      </c>
      <c r="I8" s="24">
        <v>0</v>
      </c>
      <c r="J8" s="22">
        <f>C8+D8-E8-G8-H8-I8</f>
        <v>1876089</v>
      </c>
      <c r="K8" s="25">
        <f>F8*100/B8</f>
        <v>181.14320000000001</v>
      </c>
      <c r="L8" s="26">
        <f>F8*100/F20</f>
        <v>29.687955825154567</v>
      </c>
    </row>
    <row r="9" spans="1:12" s="69" customFormat="1" ht="20.25" customHeight="1" x14ac:dyDescent="0.25">
      <c r="A9" s="27" t="s">
        <v>16</v>
      </c>
      <c r="B9" s="30">
        <v>600000</v>
      </c>
      <c r="C9" s="22">
        <v>1876089</v>
      </c>
      <c r="D9" s="23">
        <v>412535</v>
      </c>
      <c r="E9" s="29">
        <v>0</v>
      </c>
      <c r="F9" s="22">
        <f t="shared" ref="F9:F19" si="0">D9-E9</f>
        <v>412535</v>
      </c>
      <c r="G9" s="22">
        <v>3793</v>
      </c>
      <c r="H9" s="22">
        <v>413100</v>
      </c>
      <c r="I9" s="22">
        <v>0</v>
      </c>
      <c r="J9" s="28">
        <f>C9+D9-E9-G9-H9</f>
        <v>1871731</v>
      </c>
      <c r="K9" s="25">
        <f t="shared" ref="K9:K19" si="1">F9*100/B9</f>
        <v>68.755833333333328</v>
      </c>
      <c r="L9" s="26">
        <f>F9*100/F20</f>
        <v>13.522252953828948</v>
      </c>
    </row>
    <row r="10" spans="1:12" s="69" customFormat="1" ht="20.25" customHeight="1" x14ac:dyDescent="0.25">
      <c r="A10" s="27" t="s">
        <v>17</v>
      </c>
      <c r="B10" s="30">
        <v>550000</v>
      </c>
      <c r="C10" s="22">
        <v>1871731</v>
      </c>
      <c r="D10" s="23">
        <v>485325</v>
      </c>
      <c r="E10" s="22">
        <v>21750</v>
      </c>
      <c r="F10" s="22">
        <f t="shared" si="0"/>
        <v>463575</v>
      </c>
      <c r="G10" s="22">
        <v>1686</v>
      </c>
      <c r="H10" s="22">
        <v>337340</v>
      </c>
      <c r="I10" s="22">
        <v>0</v>
      </c>
      <c r="J10" s="22">
        <f>C10+D10-E10-G10-H10</f>
        <v>1996280</v>
      </c>
      <c r="K10" s="25">
        <f t="shared" si="1"/>
        <v>84.286363636363632</v>
      </c>
      <c r="L10" s="26">
        <f>F10*100/F20</f>
        <v>15.195264433493533</v>
      </c>
    </row>
    <row r="11" spans="1:12" s="69" customFormat="1" ht="20.25" customHeight="1" x14ac:dyDescent="0.25">
      <c r="A11" s="27" t="s">
        <v>18</v>
      </c>
      <c r="B11" s="30">
        <v>650000</v>
      </c>
      <c r="C11" s="22">
        <v>1996280</v>
      </c>
      <c r="D11" s="23">
        <v>676430</v>
      </c>
      <c r="E11" s="22">
        <v>4785</v>
      </c>
      <c r="F11" s="22">
        <f t="shared" si="0"/>
        <v>671645</v>
      </c>
      <c r="G11" s="22">
        <v>52446</v>
      </c>
      <c r="H11" s="22">
        <v>466245</v>
      </c>
      <c r="I11" s="22">
        <v>0</v>
      </c>
      <c r="J11" s="22">
        <f t="shared" ref="J11" si="2">C11+D11-E11-G11-H11</f>
        <v>2149234</v>
      </c>
      <c r="K11" s="25">
        <f t="shared" si="1"/>
        <v>103.33</v>
      </c>
      <c r="L11" s="26">
        <f>F11*100/F20</f>
        <v>22.015474045049373</v>
      </c>
    </row>
    <row r="12" spans="1:12" s="69" customFormat="1" ht="20.25" customHeight="1" x14ac:dyDescent="0.25">
      <c r="A12" s="21" t="s">
        <v>27</v>
      </c>
      <c r="B12" s="11">
        <v>550000</v>
      </c>
      <c r="C12" s="22">
        <v>2149234</v>
      </c>
      <c r="D12" s="23">
        <v>597315</v>
      </c>
      <c r="E12" s="22"/>
      <c r="F12" s="22">
        <f t="shared" si="0"/>
        <v>597315</v>
      </c>
      <c r="G12" s="22">
        <v>2512</v>
      </c>
      <c r="H12" s="22">
        <v>434200</v>
      </c>
      <c r="I12" s="22">
        <v>0</v>
      </c>
      <c r="J12" s="28">
        <f>C12+D12-E12-G12-H12</f>
        <v>2309837</v>
      </c>
      <c r="K12" s="25">
        <f t="shared" si="1"/>
        <v>108.60272727272728</v>
      </c>
      <c r="L12" s="26">
        <f>F12*100/F20</f>
        <v>19.579052742473579</v>
      </c>
    </row>
    <row r="13" spans="1:12" s="69" customFormat="1" ht="20.25" customHeight="1" x14ac:dyDescent="0.25">
      <c r="A13" s="27" t="s">
        <v>20</v>
      </c>
      <c r="B13" s="30"/>
      <c r="C13" s="22"/>
      <c r="D13" s="23"/>
      <c r="E13" s="22"/>
      <c r="F13" s="22">
        <f t="shared" si="0"/>
        <v>0</v>
      </c>
      <c r="G13" s="22"/>
      <c r="H13" s="22"/>
      <c r="I13" s="22"/>
      <c r="J13" s="22">
        <f t="shared" ref="J13" si="3">C13+D13-E13-G13-H13</f>
        <v>0</v>
      </c>
      <c r="K13" s="25" t="e">
        <f t="shared" si="1"/>
        <v>#DIV/0!</v>
      </c>
      <c r="L13" s="26">
        <f>F13*100/F20</f>
        <v>0</v>
      </c>
    </row>
    <row r="14" spans="1:12" s="69" customFormat="1" ht="20.25" customHeight="1" x14ac:dyDescent="0.25">
      <c r="A14" s="27" t="s">
        <v>21</v>
      </c>
      <c r="B14" s="30"/>
      <c r="C14" s="22"/>
      <c r="D14" s="23"/>
      <c r="E14" s="22"/>
      <c r="F14" s="22">
        <f t="shared" si="0"/>
        <v>0</v>
      </c>
      <c r="G14" s="22"/>
      <c r="H14" s="22"/>
      <c r="I14" s="22"/>
      <c r="J14" s="22">
        <f>C14+D14-E14-G14-H14</f>
        <v>0</v>
      </c>
      <c r="K14" s="25" t="e">
        <f t="shared" si="1"/>
        <v>#DIV/0!</v>
      </c>
      <c r="L14" s="26">
        <f>F14*100/F20</f>
        <v>0</v>
      </c>
    </row>
    <row r="15" spans="1:12" s="69" customFormat="1" ht="20.25" customHeight="1" x14ac:dyDescent="0.25">
      <c r="A15" s="21" t="s">
        <v>22</v>
      </c>
      <c r="B15" s="11"/>
      <c r="C15" s="22"/>
      <c r="D15" s="23"/>
      <c r="E15" s="22"/>
      <c r="F15" s="22">
        <f t="shared" si="0"/>
        <v>0</v>
      </c>
      <c r="G15" s="22"/>
      <c r="H15" s="22"/>
      <c r="I15" s="24"/>
      <c r="J15" s="22">
        <f>C15+D15-E15-G15-H15-I15</f>
        <v>0</v>
      </c>
      <c r="K15" s="25" t="e">
        <f t="shared" si="1"/>
        <v>#DIV/0!</v>
      </c>
      <c r="L15" s="26">
        <f>F15*100/F20</f>
        <v>0</v>
      </c>
    </row>
    <row r="16" spans="1:12" s="69" customFormat="1" ht="20.25" customHeight="1" x14ac:dyDescent="0.25">
      <c r="A16" s="31" t="s">
        <v>23</v>
      </c>
      <c r="B16" s="11"/>
      <c r="C16" s="22"/>
      <c r="D16" s="23"/>
      <c r="E16" s="22"/>
      <c r="F16" s="22">
        <f t="shared" si="0"/>
        <v>0</v>
      </c>
      <c r="G16" s="22"/>
      <c r="H16" s="22"/>
      <c r="I16" s="22"/>
      <c r="J16" s="28">
        <f>C16+D16-E16-G16-H16-I16</f>
        <v>0</v>
      </c>
      <c r="K16" s="25" t="e">
        <f t="shared" si="1"/>
        <v>#DIV/0!</v>
      </c>
      <c r="L16" s="26">
        <f>F16*100/F20</f>
        <v>0</v>
      </c>
    </row>
    <row r="17" spans="1:12" s="69" customFormat="1" ht="20.25" customHeight="1" x14ac:dyDescent="0.25">
      <c r="A17" s="32" t="s">
        <v>24</v>
      </c>
      <c r="B17" s="11"/>
      <c r="C17" s="22"/>
      <c r="D17" s="23"/>
      <c r="E17" s="22"/>
      <c r="F17" s="22">
        <f t="shared" si="0"/>
        <v>0</v>
      </c>
      <c r="G17" s="22"/>
      <c r="H17" s="22"/>
      <c r="I17" s="22"/>
      <c r="J17" s="28">
        <f t="shared" ref="J17:J18" si="4">C17+D17-E17-G17-H17-I17</f>
        <v>0</v>
      </c>
      <c r="K17" s="25" t="e">
        <f t="shared" si="1"/>
        <v>#DIV/0!</v>
      </c>
      <c r="L17" s="26">
        <f>F17*100/F20</f>
        <v>0</v>
      </c>
    </row>
    <row r="18" spans="1:12" s="69" customFormat="1" ht="20.25" customHeight="1" x14ac:dyDescent="0.25">
      <c r="A18" s="32" t="s">
        <v>25</v>
      </c>
      <c r="B18" s="11"/>
      <c r="C18" s="22"/>
      <c r="D18" s="23"/>
      <c r="E18" s="22"/>
      <c r="F18" s="22">
        <f t="shared" si="0"/>
        <v>0</v>
      </c>
      <c r="G18" s="22"/>
      <c r="H18" s="22"/>
      <c r="I18" s="22"/>
      <c r="J18" s="28">
        <f t="shared" si="4"/>
        <v>0</v>
      </c>
      <c r="K18" s="25" t="e">
        <f t="shared" si="1"/>
        <v>#DIV/0!</v>
      </c>
      <c r="L18" s="26">
        <f>F18*100/F20</f>
        <v>0</v>
      </c>
    </row>
    <row r="19" spans="1:12" s="69" customFormat="1" ht="20.25" customHeight="1" x14ac:dyDescent="0.25">
      <c r="A19" s="32" t="s">
        <v>26</v>
      </c>
      <c r="B19" s="11"/>
      <c r="C19" s="22"/>
      <c r="D19" s="23"/>
      <c r="E19" s="22"/>
      <c r="F19" s="22">
        <f t="shared" si="0"/>
        <v>0</v>
      </c>
      <c r="G19" s="22"/>
      <c r="H19" s="22"/>
      <c r="I19" s="22"/>
      <c r="J19" s="28">
        <f>C19+D19-E19-G19-H19-I19</f>
        <v>0</v>
      </c>
      <c r="K19" s="25" t="e">
        <f t="shared" si="1"/>
        <v>#DIV/0!</v>
      </c>
      <c r="L19" s="26">
        <f>F19*100/F20</f>
        <v>0</v>
      </c>
    </row>
    <row r="20" spans="1:12" x14ac:dyDescent="0.25">
      <c r="A20" s="9" t="s">
        <v>13</v>
      </c>
      <c r="B20" s="9">
        <f>SUM(B8:B19)</f>
        <v>2850000</v>
      </c>
      <c r="C20" s="9">
        <f>C8</f>
        <v>1486841</v>
      </c>
      <c r="D20" s="33">
        <f t="shared" ref="D20:I20" si="5">SUM(D8:D19)</f>
        <v>3080531</v>
      </c>
      <c r="E20" s="9">
        <f t="shared" si="5"/>
        <v>29745</v>
      </c>
      <c r="F20" s="9">
        <f t="shared" si="5"/>
        <v>3050786</v>
      </c>
      <c r="G20" s="9">
        <f t="shared" si="5"/>
        <v>78625</v>
      </c>
      <c r="H20" s="9">
        <f t="shared" si="5"/>
        <v>2149165</v>
      </c>
      <c r="I20" s="9">
        <f t="shared" si="5"/>
        <v>0</v>
      </c>
      <c r="J20" s="9">
        <f>J12</f>
        <v>2309837</v>
      </c>
      <c r="K20" s="35">
        <f>F20*100/B20</f>
        <v>107.04512280701755</v>
      </c>
      <c r="L20" s="35">
        <f>SUM(L8:L19)/5</f>
        <v>20</v>
      </c>
    </row>
    <row r="21" spans="1:12" s="66" customFormat="1" x14ac:dyDescent="0.25">
      <c r="A21"/>
      <c r="B21"/>
      <c r="C21"/>
      <c r="D21"/>
      <c r="E21"/>
      <c r="F21"/>
      <c r="G21"/>
      <c r="H21"/>
      <c r="I21"/>
      <c r="J21"/>
      <c r="K21"/>
      <c r="L21"/>
    </row>
    <row r="22" spans="1:12" s="66" customFormat="1" x14ac:dyDescent="0.2">
      <c r="A22" s="87" t="s">
        <v>31</v>
      </c>
      <c r="B22" s="5"/>
      <c r="C22" s="5"/>
      <c r="D22" s="78">
        <f>F20/5</f>
        <v>610157.19999999995</v>
      </c>
      <c r="E22" s="5"/>
      <c r="F22" s="67"/>
      <c r="G22" s="67"/>
      <c r="H22" s="67"/>
      <c r="I22" s="67"/>
      <c r="J22" s="73"/>
      <c r="K22" s="67"/>
      <c r="L22" s="67"/>
    </row>
    <row r="23" spans="1:12" x14ac:dyDescent="0.25">
      <c r="A23" s="87" t="s">
        <v>30</v>
      </c>
      <c r="B23" s="5"/>
      <c r="C23" s="5"/>
      <c r="D23" s="78">
        <f>B20/5</f>
        <v>570000</v>
      </c>
      <c r="E23" s="5"/>
      <c r="F23" s="66"/>
      <c r="G23" s="66"/>
      <c r="H23" s="66"/>
      <c r="I23" s="66"/>
      <c r="J23" s="73"/>
      <c r="K23" s="66"/>
      <c r="L23" s="66"/>
    </row>
    <row r="24" spans="1:12" s="66" customFormat="1" x14ac:dyDescent="0.25">
      <c r="A24" s="87" t="s">
        <v>28</v>
      </c>
      <c r="B24" s="5"/>
      <c r="C24" s="5"/>
      <c r="D24" s="78">
        <f>H20/5</f>
        <v>429833</v>
      </c>
      <c r="E24" s="5"/>
      <c r="F24"/>
      <c r="G24"/>
      <c r="H24"/>
      <c r="I24"/>
      <c r="J24" s="76"/>
      <c r="K24"/>
      <c r="L24"/>
    </row>
    <row r="25" spans="1:12" s="66" customFormat="1" x14ac:dyDescent="0.2">
      <c r="A25" s="87" t="s">
        <v>29</v>
      </c>
      <c r="B25" s="5"/>
      <c r="C25" s="5"/>
      <c r="D25" s="79">
        <v>1.0705</v>
      </c>
      <c r="E25" s="5"/>
      <c r="J25" s="73"/>
    </row>
    <row r="26" spans="1:12" x14ac:dyDescent="0.25">
      <c r="A26" s="87" t="s">
        <v>32</v>
      </c>
      <c r="B26" s="5"/>
      <c r="C26" s="5"/>
      <c r="D26" s="79"/>
      <c r="E26" s="5"/>
      <c r="F26" s="66"/>
      <c r="G26" s="66"/>
      <c r="H26" s="66"/>
      <c r="I26" s="66"/>
      <c r="J26" s="66"/>
      <c r="K26" s="66"/>
      <c r="L26" s="66"/>
    </row>
    <row r="27" spans="1:12" x14ac:dyDescent="0.25">
      <c r="J27" s="86" t="s">
        <v>49</v>
      </c>
    </row>
    <row r="28" spans="1:12" x14ac:dyDescent="0.25">
      <c r="J28" s="86" t="s">
        <v>50</v>
      </c>
    </row>
  </sheetData>
  <mergeCells count="4">
    <mergeCell ref="A4:L4"/>
    <mergeCell ref="A1:L1"/>
    <mergeCell ref="A2:L2"/>
    <mergeCell ref="A3:L3"/>
  </mergeCells>
  <pageMargins left="0.25" right="0" top="0.75" bottom="0.75" header="0.3" footer="0.3"/>
  <pageSetup paperSize="9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7"/>
  <sheetViews>
    <sheetView view="pageLayout" topLeftCell="A4" zoomScaleNormal="100" workbookViewId="0">
      <selection activeCell="L21" sqref="L21"/>
    </sheetView>
  </sheetViews>
  <sheetFormatPr defaultRowHeight="15" x14ac:dyDescent="0.25"/>
  <cols>
    <col min="1" max="1" width="10.85546875" style="66" bestFit="1" customWidth="1"/>
    <col min="2" max="2" width="12.42578125" style="66" bestFit="1" customWidth="1"/>
    <col min="3" max="3" width="13.85546875" style="66" bestFit="1" customWidth="1"/>
    <col min="4" max="4" width="12.42578125" style="66" bestFit="1" customWidth="1"/>
    <col min="5" max="5" width="11" style="66" bestFit="1" customWidth="1"/>
    <col min="6" max="8" width="12.42578125" style="66" bestFit="1" customWidth="1"/>
    <col min="9" max="9" width="9.140625" style="66"/>
    <col min="10" max="10" width="13.28515625" style="66" customWidth="1"/>
    <col min="11" max="11" width="15" style="66" bestFit="1" customWidth="1"/>
    <col min="12" max="12" width="9.7109375" style="66" customWidth="1"/>
    <col min="13" max="16384" width="9.140625" style="66"/>
  </cols>
  <sheetData>
    <row r="1" spans="1:12" ht="30" x14ac:dyDescent="0.25">
      <c r="A1" s="169" t="s">
        <v>14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</row>
    <row r="2" spans="1:12" x14ac:dyDescent="0.25">
      <c r="A2" s="170" t="s">
        <v>51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</row>
    <row r="3" spans="1:12" ht="20.25" x14ac:dyDescent="0.25">
      <c r="A3" s="171" t="s">
        <v>59</v>
      </c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</row>
    <row r="4" spans="1:12" ht="20.25" x14ac:dyDescent="0.25">
      <c r="A4" s="172" t="s">
        <v>53</v>
      </c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</row>
    <row r="5" spans="1:12" s="69" customFormat="1" ht="19.5" customHeight="1" x14ac:dyDescent="0.25">
      <c r="A5" s="67"/>
      <c r="B5" s="67"/>
      <c r="C5" s="67"/>
      <c r="D5" s="66"/>
      <c r="E5" s="131"/>
      <c r="F5" s="131"/>
      <c r="G5" s="131"/>
      <c r="H5" s="131"/>
      <c r="I5" s="66"/>
      <c r="J5" s="132" t="s">
        <v>41</v>
      </c>
      <c r="K5" s="67"/>
      <c r="L5" s="67"/>
    </row>
    <row r="6" spans="1:12" s="69" customFormat="1" ht="12" x14ac:dyDescent="0.25">
      <c r="A6" s="10" t="s">
        <v>0</v>
      </c>
      <c r="B6" s="11" t="s">
        <v>1</v>
      </c>
      <c r="C6" s="12" t="s">
        <v>2</v>
      </c>
      <c r="D6" s="11" t="s">
        <v>3</v>
      </c>
      <c r="E6" s="11" t="s">
        <v>4</v>
      </c>
      <c r="F6" s="11" t="s">
        <v>5</v>
      </c>
      <c r="G6" s="12" t="s">
        <v>6</v>
      </c>
      <c r="H6" s="11" t="s">
        <v>7</v>
      </c>
      <c r="I6" s="11" t="s">
        <v>8</v>
      </c>
      <c r="J6" s="12" t="s">
        <v>9</v>
      </c>
      <c r="K6" s="13" t="s">
        <v>1</v>
      </c>
      <c r="L6" s="14" t="s">
        <v>10</v>
      </c>
    </row>
    <row r="7" spans="1:12" s="69" customFormat="1" ht="19.5" customHeight="1" x14ac:dyDescent="0.25">
      <c r="A7" s="16"/>
      <c r="B7" s="17"/>
      <c r="C7" s="18"/>
      <c r="D7" s="17"/>
      <c r="E7" s="17"/>
      <c r="F7" s="17"/>
      <c r="G7" s="18"/>
      <c r="H7" s="17"/>
      <c r="I7" s="17"/>
      <c r="J7" s="18"/>
      <c r="K7" s="19" t="s">
        <v>11</v>
      </c>
      <c r="L7" s="20" t="s">
        <v>12</v>
      </c>
    </row>
    <row r="8" spans="1:12" s="69" customFormat="1" ht="19.5" customHeight="1" x14ac:dyDescent="0.25">
      <c r="A8" s="21" t="s">
        <v>15</v>
      </c>
      <c r="B8" s="11">
        <v>150000</v>
      </c>
      <c r="C8" s="22">
        <v>922695</v>
      </c>
      <c r="D8" s="23">
        <v>0</v>
      </c>
      <c r="E8" s="22">
        <v>2100</v>
      </c>
      <c r="F8" s="22">
        <f>D8-E8</f>
        <v>-2100</v>
      </c>
      <c r="G8" s="22">
        <v>300</v>
      </c>
      <c r="H8" s="22">
        <v>7000</v>
      </c>
      <c r="I8" s="24">
        <v>0</v>
      </c>
      <c r="J8" s="22">
        <f>C8+D8-E8-G8-H8-I8</f>
        <v>913295</v>
      </c>
      <c r="K8" s="25">
        <f>F8*100/B8</f>
        <v>-1.4</v>
      </c>
      <c r="L8" s="26">
        <f>100*F8/F20</f>
        <v>-1.2873563218390804</v>
      </c>
    </row>
    <row r="9" spans="1:12" s="69" customFormat="1" ht="19.5" customHeight="1" x14ac:dyDescent="0.25">
      <c r="A9" s="27" t="s">
        <v>16</v>
      </c>
      <c r="B9" s="30">
        <v>275000</v>
      </c>
      <c r="C9" s="22">
        <v>913295</v>
      </c>
      <c r="D9" s="23">
        <v>0</v>
      </c>
      <c r="E9" s="29"/>
      <c r="F9" s="22">
        <f t="shared" ref="F9:F19" si="0">D9-E9</f>
        <v>0</v>
      </c>
      <c r="G9" s="22"/>
      <c r="H9" s="22">
        <v>10000</v>
      </c>
      <c r="I9" s="22">
        <v>0</v>
      </c>
      <c r="J9" s="22">
        <f t="shared" ref="J9:J19" si="1">C9+D9-E9-G9-H9-I9</f>
        <v>903295</v>
      </c>
      <c r="K9" s="25">
        <f t="shared" ref="K9:K19" si="2">F9*100/B9</f>
        <v>0</v>
      </c>
      <c r="L9" s="26">
        <f>100*F9/F20</f>
        <v>0</v>
      </c>
    </row>
    <row r="10" spans="1:12" s="69" customFormat="1" ht="19.5" customHeight="1" x14ac:dyDescent="0.25">
      <c r="A10" s="27" t="s">
        <v>17</v>
      </c>
      <c r="B10" s="30">
        <v>200000</v>
      </c>
      <c r="C10" s="22">
        <v>920395</v>
      </c>
      <c r="D10" s="23">
        <v>25200</v>
      </c>
      <c r="E10" s="22"/>
      <c r="F10" s="22">
        <f t="shared" si="0"/>
        <v>25200</v>
      </c>
      <c r="G10" s="22"/>
      <c r="H10" s="22">
        <v>40300</v>
      </c>
      <c r="I10" s="22"/>
      <c r="J10" s="22">
        <f t="shared" si="1"/>
        <v>905295</v>
      </c>
      <c r="K10" s="25">
        <f t="shared" si="2"/>
        <v>12.6</v>
      </c>
      <c r="L10" s="26">
        <f>100*F10/F20</f>
        <v>15.448275862068966</v>
      </c>
    </row>
    <row r="11" spans="1:12" s="69" customFormat="1" ht="19.5" customHeight="1" x14ac:dyDescent="0.25">
      <c r="A11" s="27" t="s">
        <v>18</v>
      </c>
      <c r="B11" s="30">
        <v>275000</v>
      </c>
      <c r="C11" s="22">
        <v>905295</v>
      </c>
      <c r="D11" s="23">
        <v>146340</v>
      </c>
      <c r="E11" s="22">
        <v>44535</v>
      </c>
      <c r="F11" s="22">
        <f t="shared" si="0"/>
        <v>101805</v>
      </c>
      <c r="G11" s="22">
        <v>13165</v>
      </c>
      <c r="H11" s="22">
        <v>67510</v>
      </c>
      <c r="I11" s="22">
        <v>0</v>
      </c>
      <c r="J11" s="22">
        <f t="shared" si="1"/>
        <v>926425</v>
      </c>
      <c r="K11" s="25">
        <f t="shared" si="2"/>
        <v>37.020000000000003</v>
      </c>
      <c r="L11" s="26">
        <f>100*F11/F20</f>
        <v>62.409195402298849</v>
      </c>
    </row>
    <row r="12" spans="1:12" s="69" customFormat="1" ht="19.5" customHeight="1" x14ac:dyDescent="0.25">
      <c r="A12" s="21" t="s">
        <v>27</v>
      </c>
      <c r="B12" s="11">
        <v>250000</v>
      </c>
      <c r="C12" s="22">
        <v>926425</v>
      </c>
      <c r="D12" s="23">
        <v>38220</v>
      </c>
      <c r="E12" s="22"/>
      <c r="F12" s="22">
        <f t="shared" si="0"/>
        <v>38220</v>
      </c>
      <c r="G12" s="22">
        <v>900</v>
      </c>
      <c r="H12" s="22">
        <v>30700</v>
      </c>
      <c r="I12" s="22"/>
      <c r="J12" s="22">
        <f t="shared" si="1"/>
        <v>933045</v>
      </c>
      <c r="K12" s="25">
        <f t="shared" si="2"/>
        <v>15.288</v>
      </c>
      <c r="L12" s="26">
        <f>100*F12/F20</f>
        <v>23.429885057471264</v>
      </c>
    </row>
    <row r="13" spans="1:12" s="69" customFormat="1" ht="19.5" customHeight="1" x14ac:dyDescent="0.25">
      <c r="A13" s="27" t="s">
        <v>20</v>
      </c>
      <c r="B13" s="11"/>
      <c r="C13" s="22"/>
      <c r="D13" s="23"/>
      <c r="E13" s="22"/>
      <c r="F13" s="22">
        <f t="shared" si="0"/>
        <v>0</v>
      </c>
      <c r="G13" s="22"/>
      <c r="H13" s="22"/>
      <c r="I13" s="22"/>
      <c r="J13" s="22">
        <f t="shared" si="1"/>
        <v>0</v>
      </c>
      <c r="K13" s="25" t="e">
        <f t="shared" si="2"/>
        <v>#DIV/0!</v>
      </c>
      <c r="L13" s="26">
        <f>100*F13/F20</f>
        <v>0</v>
      </c>
    </row>
    <row r="14" spans="1:12" s="69" customFormat="1" ht="19.5" customHeight="1" x14ac:dyDescent="0.25">
      <c r="A14" s="27" t="s">
        <v>21</v>
      </c>
      <c r="B14" s="11"/>
      <c r="C14" s="22"/>
      <c r="D14" s="23"/>
      <c r="E14" s="22"/>
      <c r="F14" s="22">
        <f t="shared" si="0"/>
        <v>0</v>
      </c>
      <c r="G14" s="22"/>
      <c r="H14" s="22"/>
      <c r="I14" s="22"/>
      <c r="J14" s="22">
        <f t="shared" si="1"/>
        <v>0</v>
      </c>
      <c r="K14" s="25" t="e">
        <f t="shared" si="2"/>
        <v>#DIV/0!</v>
      </c>
      <c r="L14" s="26">
        <f>100*F14/F20</f>
        <v>0</v>
      </c>
    </row>
    <row r="15" spans="1:12" s="69" customFormat="1" ht="19.5" customHeight="1" x14ac:dyDescent="0.25">
      <c r="A15" s="21" t="s">
        <v>22</v>
      </c>
      <c r="B15" s="11"/>
      <c r="C15" s="22"/>
      <c r="D15" s="23"/>
      <c r="E15" s="22"/>
      <c r="F15" s="22">
        <f t="shared" si="0"/>
        <v>0</v>
      </c>
      <c r="G15" s="22"/>
      <c r="H15" s="22"/>
      <c r="I15" s="24"/>
      <c r="J15" s="22">
        <f t="shared" si="1"/>
        <v>0</v>
      </c>
      <c r="K15" s="25" t="e">
        <f t="shared" si="2"/>
        <v>#DIV/0!</v>
      </c>
      <c r="L15" s="26">
        <f>100*F15/F20</f>
        <v>0</v>
      </c>
    </row>
    <row r="16" spans="1:12" s="69" customFormat="1" ht="19.5" customHeight="1" x14ac:dyDescent="0.25">
      <c r="A16" s="31" t="s">
        <v>23</v>
      </c>
      <c r="B16" s="11"/>
      <c r="C16" s="22"/>
      <c r="D16" s="23"/>
      <c r="E16" s="22"/>
      <c r="F16" s="22">
        <f t="shared" si="0"/>
        <v>0</v>
      </c>
      <c r="G16" s="22"/>
      <c r="H16" s="22"/>
      <c r="I16" s="22"/>
      <c r="J16" s="22">
        <f t="shared" si="1"/>
        <v>0</v>
      </c>
      <c r="K16" s="25" t="e">
        <f t="shared" si="2"/>
        <v>#DIV/0!</v>
      </c>
      <c r="L16" s="26">
        <f>100*F16/F20</f>
        <v>0</v>
      </c>
    </row>
    <row r="17" spans="1:12" s="69" customFormat="1" ht="19.5" customHeight="1" x14ac:dyDescent="0.25">
      <c r="A17" s="32" t="s">
        <v>24</v>
      </c>
      <c r="B17" s="11"/>
      <c r="C17" s="22"/>
      <c r="D17" s="23"/>
      <c r="E17" s="22"/>
      <c r="F17" s="22">
        <f t="shared" si="0"/>
        <v>0</v>
      </c>
      <c r="G17" s="22"/>
      <c r="H17" s="22"/>
      <c r="I17" s="22"/>
      <c r="J17" s="22">
        <f>C17+D17-E17-G17-H17-I17</f>
        <v>0</v>
      </c>
      <c r="K17" s="25" t="e">
        <f t="shared" si="2"/>
        <v>#DIV/0!</v>
      </c>
      <c r="L17" s="26">
        <f>100*F17/F20</f>
        <v>0</v>
      </c>
    </row>
    <row r="18" spans="1:12" s="69" customFormat="1" ht="19.5" customHeight="1" x14ac:dyDescent="0.25">
      <c r="A18" s="32" t="s">
        <v>25</v>
      </c>
      <c r="B18" s="11"/>
      <c r="C18" s="22"/>
      <c r="D18" s="23"/>
      <c r="E18" s="22"/>
      <c r="F18" s="22">
        <f t="shared" si="0"/>
        <v>0</v>
      </c>
      <c r="G18" s="22"/>
      <c r="H18" s="22"/>
      <c r="I18" s="22"/>
      <c r="J18" s="22">
        <f t="shared" si="1"/>
        <v>0</v>
      </c>
      <c r="K18" s="25" t="e">
        <f t="shared" si="2"/>
        <v>#DIV/0!</v>
      </c>
      <c r="L18" s="26">
        <f>100*F18/F20</f>
        <v>0</v>
      </c>
    </row>
    <row r="19" spans="1:12" s="69" customFormat="1" ht="19.5" customHeight="1" x14ac:dyDescent="0.25">
      <c r="A19" s="32" t="s">
        <v>26</v>
      </c>
      <c r="B19" s="11"/>
      <c r="C19" s="22"/>
      <c r="D19" s="23"/>
      <c r="E19" s="22"/>
      <c r="F19" s="22">
        <f t="shared" si="0"/>
        <v>0</v>
      </c>
      <c r="G19" s="22"/>
      <c r="H19" s="22"/>
      <c r="I19" s="22"/>
      <c r="J19" s="22">
        <f t="shared" si="1"/>
        <v>0</v>
      </c>
      <c r="K19" s="25" t="e">
        <f t="shared" si="2"/>
        <v>#DIV/0!</v>
      </c>
      <c r="L19" s="26">
        <f>100*F19/F20</f>
        <v>0</v>
      </c>
    </row>
    <row r="20" spans="1:12" ht="22.5" customHeight="1" x14ac:dyDescent="0.25">
      <c r="A20" s="9" t="s">
        <v>13</v>
      </c>
      <c r="B20" s="9">
        <f>SUM(B8:B19)</f>
        <v>1150000</v>
      </c>
      <c r="C20" s="9">
        <f>C8</f>
        <v>922695</v>
      </c>
      <c r="D20" s="33">
        <f t="shared" ref="D20:I20" si="3">SUM(D8:D19)</f>
        <v>209760</v>
      </c>
      <c r="E20" s="9">
        <f t="shared" si="3"/>
        <v>46635</v>
      </c>
      <c r="F20" s="9">
        <f t="shared" si="3"/>
        <v>163125</v>
      </c>
      <c r="G20" s="9">
        <f t="shared" si="3"/>
        <v>14365</v>
      </c>
      <c r="H20" s="9">
        <f>SUM(H8:H19)</f>
        <v>155510</v>
      </c>
      <c r="I20" s="9">
        <f t="shared" si="3"/>
        <v>0</v>
      </c>
      <c r="J20" s="9">
        <f>J12</f>
        <v>933045</v>
      </c>
      <c r="K20" s="35">
        <f>F20*100/B20</f>
        <v>14.184782608695652</v>
      </c>
      <c r="L20" s="35">
        <f>SUM(L8:L19)/5</f>
        <v>20</v>
      </c>
    </row>
    <row r="22" spans="1:12" x14ac:dyDescent="0.25">
      <c r="A22" s="108" t="s">
        <v>31</v>
      </c>
      <c r="B22" s="88"/>
      <c r="C22" s="88"/>
      <c r="D22" s="133">
        <f>F20/5</f>
        <v>32625</v>
      </c>
      <c r="E22" s="88"/>
      <c r="F22" s="67"/>
      <c r="G22" s="67"/>
      <c r="H22" s="67"/>
      <c r="I22" s="67"/>
      <c r="J22" s="73"/>
      <c r="K22" s="67"/>
      <c r="L22" s="67"/>
    </row>
    <row r="23" spans="1:12" x14ac:dyDescent="0.25">
      <c r="A23" s="108" t="s">
        <v>30</v>
      </c>
      <c r="B23" s="88"/>
      <c r="C23" s="88"/>
      <c r="D23" s="133">
        <f>B20/5</f>
        <v>230000</v>
      </c>
      <c r="E23" s="88"/>
      <c r="J23" s="73"/>
    </row>
    <row r="24" spans="1:12" x14ac:dyDescent="0.25">
      <c r="A24" s="108" t="s">
        <v>28</v>
      </c>
      <c r="B24" s="88"/>
      <c r="C24" s="88"/>
      <c r="D24" s="133">
        <f>H20/5</f>
        <v>31102</v>
      </c>
      <c r="E24" s="88"/>
      <c r="J24" s="73"/>
    </row>
    <row r="25" spans="1:12" x14ac:dyDescent="0.25">
      <c r="A25" s="108" t="s">
        <v>29</v>
      </c>
      <c r="B25" s="88"/>
      <c r="C25" s="88"/>
      <c r="D25" s="134">
        <v>0.14180000000000001</v>
      </c>
      <c r="E25" s="88"/>
      <c r="J25" s="73"/>
    </row>
    <row r="26" spans="1:12" x14ac:dyDescent="0.25">
      <c r="A26" s="108" t="s">
        <v>32</v>
      </c>
      <c r="B26" s="88"/>
      <c r="C26" s="88"/>
      <c r="D26" s="134"/>
      <c r="E26" s="88"/>
      <c r="J26" s="86" t="s">
        <v>49</v>
      </c>
    </row>
    <row r="27" spans="1:12" x14ac:dyDescent="0.25">
      <c r="J27" s="86" t="s">
        <v>50</v>
      </c>
    </row>
  </sheetData>
  <mergeCells count="4">
    <mergeCell ref="A4:L4"/>
    <mergeCell ref="A1:L1"/>
    <mergeCell ref="A2:L2"/>
    <mergeCell ref="A3:L3"/>
  </mergeCells>
  <pageMargins left="0.25" right="0" top="0.75" bottom="0.75" header="0.3" footer="0.3"/>
  <pageSetup paperSize="9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0"/>
  <sheetViews>
    <sheetView view="pageLayout" topLeftCell="A6" zoomScaleNormal="100" workbookViewId="0">
      <selection activeCell="J11" sqref="J11"/>
    </sheetView>
  </sheetViews>
  <sheetFormatPr defaultRowHeight="15" x14ac:dyDescent="0.25"/>
  <cols>
    <col min="1" max="1" width="10.85546875" bestFit="1" customWidth="1"/>
    <col min="2" max="2" width="12.42578125" bestFit="1" customWidth="1"/>
    <col min="3" max="3" width="13.85546875" bestFit="1" customWidth="1"/>
    <col min="4" max="5" width="11" bestFit="1" customWidth="1"/>
    <col min="6" max="6" width="11" customWidth="1"/>
    <col min="7" max="7" width="12.42578125" bestFit="1" customWidth="1"/>
    <col min="8" max="8" width="12.85546875" customWidth="1"/>
    <col min="9" max="9" width="9.42578125" bestFit="1" customWidth="1"/>
    <col min="10" max="10" width="12.42578125" customWidth="1"/>
    <col min="11" max="11" width="15" bestFit="1" customWidth="1"/>
    <col min="12" max="12" width="10.7109375" customWidth="1"/>
  </cols>
  <sheetData>
    <row r="1" spans="1:12" ht="30" x14ac:dyDescent="0.25">
      <c r="A1" s="169" t="s">
        <v>14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</row>
    <row r="2" spans="1:12" x14ac:dyDescent="0.25">
      <c r="A2" s="170" t="s">
        <v>51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</row>
    <row r="3" spans="1:12" ht="20.25" x14ac:dyDescent="0.25">
      <c r="A3" s="171" t="s">
        <v>60</v>
      </c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</row>
    <row r="4" spans="1:12" ht="20.25" x14ac:dyDescent="0.25">
      <c r="A4" s="172" t="s">
        <v>53</v>
      </c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</row>
    <row r="5" spans="1:12" s="43" customFormat="1" ht="16.5" customHeight="1" x14ac:dyDescent="0.25">
      <c r="A5" s="1"/>
      <c r="B5" s="1"/>
      <c r="C5" s="1"/>
      <c r="D5"/>
      <c r="E5" s="3"/>
      <c r="F5" s="3"/>
      <c r="G5" s="3"/>
      <c r="I5" s="96" t="s">
        <v>39</v>
      </c>
      <c r="J5" s="1"/>
      <c r="K5" s="1"/>
      <c r="L5" s="1"/>
    </row>
    <row r="6" spans="1:12" s="43" customFormat="1" ht="17.25" customHeight="1" x14ac:dyDescent="0.2">
      <c r="A6" s="38" t="s">
        <v>0</v>
      </c>
      <c r="B6" s="39" t="s">
        <v>1</v>
      </c>
      <c r="C6" s="40" t="s">
        <v>2</v>
      </c>
      <c r="D6" s="39" t="s">
        <v>3</v>
      </c>
      <c r="E6" s="39" t="s">
        <v>4</v>
      </c>
      <c r="F6" s="39" t="s">
        <v>5</v>
      </c>
      <c r="G6" s="40" t="s">
        <v>6</v>
      </c>
      <c r="H6" s="39" t="s">
        <v>7</v>
      </c>
      <c r="I6" s="39" t="s">
        <v>8</v>
      </c>
      <c r="J6" s="40" t="s">
        <v>9</v>
      </c>
      <c r="K6" s="41" t="s">
        <v>1</v>
      </c>
      <c r="L6" s="42" t="s">
        <v>10</v>
      </c>
    </row>
    <row r="7" spans="1:12" s="43" customFormat="1" ht="12" x14ac:dyDescent="0.2">
      <c r="A7" s="44"/>
      <c r="B7" s="45"/>
      <c r="C7" s="46"/>
      <c r="D7" s="45"/>
      <c r="E7" s="45"/>
      <c r="F7" s="45"/>
      <c r="G7" s="46"/>
      <c r="H7" s="45"/>
      <c r="I7" s="45"/>
      <c r="J7" s="46"/>
      <c r="K7" s="47" t="s">
        <v>11</v>
      </c>
      <c r="L7" s="48" t="s">
        <v>12</v>
      </c>
    </row>
    <row r="8" spans="1:12" s="43" customFormat="1" ht="18.75" customHeight="1" x14ac:dyDescent="0.2">
      <c r="A8" s="49" t="s">
        <v>15</v>
      </c>
      <c r="B8" s="39">
        <v>175000</v>
      </c>
      <c r="C8" s="51">
        <v>553409</v>
      </c>
      <c r="D8" s="52">
        <v>55360</v>
      </c>
      <c r="E8" s="51"/>
      <c r="F8" s="51">
        <f>D8-E8</f>
        <v>55360</v>
      </c>
      <c r="G8" s="51">
        <v>360</v>
      </c>
      <c r="H8" s="51">
        <v>72600</v>
      </c>
      <c r="I8" s="53"/>
      <c r="J8" s="51">
        <f>C8+D8-E8-G8-H8-I8</f>
        <v>535809</v>
      </c>
      <c r="K8" s="54">
        <f>F8*100/B8</f>
        <v>31.634285714285713</v>
      </c>
      <c r="L8" s="63">
        <f>F8*100/F20</f>
        <v>18.704598439030981</v>
      </c>
    </row>
    <row r="9" spans="1:12" s="43" customFormat="1" ht="18.75" customHeight="1" x14ac:dyDescent="0.2">
      <c r="A9" s="56" t="s">
        <v>16</v>
      </c>
      <c r="B9" s="64">
        <v>250000</v>
      </c>
      <c r="C9" s="51">
        <v>535809</v>
      </c>
      <c r="D9" s="52">
        <v>37385</v>
      </c>
      <c r="E9" s="57"/>
      <c r="F9" s="51">
        <f t="shared" ref="F9:F12" si="0">D9-E9</f>
        <v>37385</v>
      </c>
      <c r="G9" s="51">
        <v>1045</v>
      </c>
      <c r="H9" s="51">
        <v>47130</v>
      </c>
      <c r="I9" s="51"/>
      <c r="J9" s="51">
        <f t="shared" ref="J9:J19" si="1">C9+D9-E9-G9-H9-I9</f>
        <v>525019</v>
      </c>
      <c r="K9" s="54">
        <f t="shared" ref="K9:K19" si="2">F9*100/B9</f>
        <v>14.954000000000001</v>
      </c>
      <c r="L9" s="63">
        <f>100*F9/F20</f>
        <v>12.631347771733621</v>
      </c>
    </row>
    <row r="10" spans="1:12" s="43" customFormat="1" ht="18.75" customHeight="1" x14ac:dyDescent="0.2">
      <c r="A10" s="56" t="s">
        <v>17</v>
      </c>
      <c r="B10" s="64">
        <v>250000</v>
      </c>
      <c r="C10" s="51">
        <v>525019</v>
      </c>
      <c r="D10" s="52">
        <v>51220</v>
      </c>
      <c r="E10" s="51"/>
      <c r="F10" s="51">
        <f t="shared" si="0"/>
        <v>51220</v>
      </c>
      <c r="G10" s="51">
        <v>750</v>
      </c>
      <c r="H10" s="51">
        <v>41120</v>
      </c>
      <c r="I10" s="51"/>
      <c r="J10" s="51">
        <f t="shared" si="1"/>
        <v>534369</v>
      </c>
      <c r="K10" s="54">
        <f t="shared" si="2"/>
        <v>20.488</v>
      </c>
      <c r="L10" s="63">
        <f>100*F10/F20</f>
        <v>17.305808021083219</v>
      </c>
    </row>
    <row r="11" spans="1:12" s="43" customFormat="1" ht="18.75" customHeight="1" x14ac:dyDescent="0.2">
      <c r="A11" s="56" t="s">
        <v>18</v>
      </c>
      <c r="B11" s="64">
        <v>275000</v>
      </c>
      <c r="C11" s="51">
        <v>534369</v>
      </c>
      <c r="D11" s="52">
        <v>63905</v>
      </c>
      <c r="E11" s="51">
        <v>4790</v>
      </c>
      <c r="F11" s="51">
        <f t="shared" si="0"/>
        <v>59115</v>
      </c>
      <c r="G11" s="51">
        <v>2140</v>
      </c>
      <c r="H11" s="51">
        <v>82210</v>
      </c>
      <c r="I11" s="51"/>
      <c r="J11" s="51">
        <f t="shared" si="1"/>
        <v>509134</v>
      </c>
      <c r="K11" s="54">
        <f t="shared" si="2"/>
        <v>21.496363636363636</v>
      </c>
      <c r="L11" s="63">
        <f>100*F11/F20</f>
        <v>19.97330810555124</v>
      </c>
    </row>
    <row r="12" spans="1:12" s="43" customFormat="1" ht="18.75" customHeight="1" x14ac:dyDescent="0.2">
      <c r="A12" s="49" t="s">
        <v>27</v>
      </c>
      <c r="B12" s="39">
        <v>250000</v>
      </c>
      <c r="C12" s="51">
        <v>509134</v>
      </c>
      <c r="D12" s="52">
        <v>92890</v>
      </c>
      <c r="E12" s="51"/>
      <c r="F12" s="51">
        <f t="shared" si="0"/>
        <v>92890</v>
      </c>
      <c r="G12" s="51">
        <v>375</v>
      </c>
      <c r="H12" s="51">
        <v>62570</v>
      </c>
      <c r="I12" s="51"/>
      <c r="J12" s="51">
        <f t="shared" si="1"/>
        <v>539079</v>
      </c>
      <c r="K12" s="54">
        <f t="shared" si="2"/>
        <v>37.155999999999999</v>
      </c>
      <c r="L12" s="63">
        <f>F12*100/F20</f>
        <v>31.38493766260094</v>
      </c>
    </row>
    <row r="13" spans="1:12" s="43" customFormat="1" ht="18.75" customHeight="1" x14ac:dyDescent="0.2">
      <c r="A13" s="56" t="s">
        <v>20</v>
      </c>
      <c r="B13" s="64"/>
      <c r="C13" s="51"/>
      <c r="D13" s="52"/>
      <c r="E13" s="51"/>
      <c r="F13" s="51"/>
      <c r="G13" s="51"/>
      <c r="H13" s="51"/>
      <c r="I13" s="51"/>
      <c r="J13" s="51">
        <f t="shared" si="1"/>
        <v>0</v>
      </c>
      <c r="K13" s="54" t="e">
        <f t="shared" si="2"/>
        <v>#DIV/0!</v>
      </c>
      <c r="L13" s="63" t="e">
        <f>100*F13/B13</f>
        <v>#DIV/0!</v>
      </c>
    </row>
    <row r="14" spans="1:12" s="43" customFormat="1" ht="18.75" customHeight="1" x14ac:dyDescent="0.2">
      <c r="A14" s="56" t="s">
        <v>21</v>
      </c>
      <c r="B14" s="64"/>
      <c r="C14" s="51"/>
      <c r="D14" s="52"/>
      <c r="E14" s="51"/>
      <c r="F14" s="51"/>
      <c r="G14" s="51"/>
      <c r="H14" s="51"/>
      <c r="I14" s="51"/>
      <c r="J14" s="51">
        <f t="shared" si="1"/>
        <v>0</v>
      </c>
      <c r="K14" s="54" t="e">
        <f t="shared" si="2"/>
        <v>#DIV/0!</v>
      </c>
      <c r="L14" s="63" t="e">
        <f t="shared" ref="L14:L19" si="3">100*F14/B14</f>
        <v>#DIV/0!</v>
      </c>
    </row>
    <row r="15" spans="1:12" s="43" customFormat="1" ht="18.75" customHeight="1" x14ac:dyDescent="0.2">
      <c r="A15" s="49" t="s">
        <v>22</v>
      </c>
      <c r="B15" s="64"/>
      <c r="C15" s="51"/>
      <c r="D15" s="52"/>
      <c r="E15" s="51"/>
      <c r="F15" s="51"/>
      <c r="G15" s="51"/>
      <c r="H15" s="51"/>
      <c r="I15" s="53"/>
      <c r="J15" s="51">
        <f t="shared" si="1"/>
        <v>0</v>
      </c>
      <c r="K15" s="54" t="e">
        <f t="shared" si="2"/>
        <v>#DIV/0!</v>
      </c>
      <c r="L15" s="63" t="e">
        <f t="shared" si="3"/>
        <v>#DIV/0!</v>
      </c>
    </row>
    <row r="16" spans="1:12" s="43" customFormat="1" ht="18.75" customHeight="1" x14ac:dyDescent="0.2">
      <c r="A16" s="59" t="s">
        <v>23</v>
      </c>
      <c r="B16" s="64"/>
      <c r="C16" s="51"/>
      <c r="D16" s="52"/>
      <c r="E16" s="51"/>
      <c r="F16" s="51"/>
      <c r="G16" s="51"/>
      <c r="H16" s="51"/>
      <c r="I16" s="51"/>
      <c r="J16" s="51">
        <f t="shared" si="1"/>
        <v>0</v>
      </c>
      <c r="K16" s="54" t="e">
        <f t="shared" si="2"/>
        <v>#DIV/0!</v>
      </c>
      <c r="L16" s="63" t="e">
        <f t="shared" si="3"/>
        <v>#DIV/0!</v>
      </c>
    </row>
    <row r="17" spans="1:12" s="43" customFormat="1" ht="18.75" customHeight="1" x14ac:dyDescent="0.2">
      <c r="A17" s="50" t="s">
        <v>24</v>
      </c>
      <c r="B17" s="39"/>
      <c r="C17" s="51"/>
      <c r="D17" s="52"/>
      <c r="E17" s="51"/>
      <c r="F17" s="51"/>
      <c r="G17" s="51"/>
      <c r="H17" s="51"/>
      <c r="I17" s="51"/>
      <c r="J17" s="51">
        <f t="shared" si="1"/>
        <v>0</v>
      </c>
      <c r="K17" s="54" t="e">
        <f t="shared" si="2"/>
        <v>#DIV/0!</v>
      </c>
      <c r="L17" s="63" t="e">
        <f t="shared" si="3"/>
        <v>#DIV/0!</v>
      </c>
    </row>
    <row r="18" spans="1:12" s="43" customFormat="1" ht="18.75" customHeight="1" x14ac:dyDescent="0.2">
      <c r="A18" s="50" t="s">
        <v>25</v>
      </c>
      <c r="B18" s="39"/>
      <c r="C18" s="51"/>
      <c r="D18" s="52"/>
      <c r="E18" s="51"/>
      <c r="F18" s="51"/>
      <c r="G18" s="51"/>
      <c r="H18" s="51"/>
      <c r="I18" s="51"/>
      <c r="J18" s="51">
        <f t="shared" si="1"/>
        <v>0</v>
      </c>
      <c r="K18" s="54" t="e">
        <f t="shared" si="2"/>
        <v>#DIV/0!</v>
      </c>
      <c r="L18" s="63" t="e">
        <f t="shared" si="3"/>
        <v>#DIV/0!</v>
      </c>
    </row>
    <row r="19" spans="1:12" s="43" customFormat="1" ht="18.75" customHeight="1" x14ac:dyDescent="0.2">
      <c r="A19" s="50" t="s">
        <v>26</v>
      </c>
      <c r="B19" s="39"/>
      <c r="C19" s="51"/>
      <c r="D19" s="52"/>
      <c r="E19" s="51"/>
      <c r="F19" s="51"/>
      <c r="G19" s="51"/>
      <c r="H19" s="51"/>
      <c r="I19" s="51"/>
      <c r="J19" s="51">
        <f t="shared" si="1"/>
        <v>0</v>
      </c>
      <c r="K19" s="54" t="e">
        <f t="shared" si="2"/>
        <v>#DIV/0!</v>
      </c>
      <c r="L19" s="63" t="e">
        <f t="shared" si="3"/>
        <v>#DIV/0!</v>
      </c>
    </row>
    <row r="20" spans="1:12" ht="17.25" customHeight="1" x14ac:dyDescent="0.25">
      <c r="A20" s="8" t="s">
        <v>13</v>
      </c>
      <c r="B20" s="8">
        <f>SUM(B8:B19)</f>
        <v>1200000</v>
      </c>
      <c r="C20" s="8">
        <f>C8</f>
        <v>553409</v>
      </c>
      <c r="D20" s="60">
        <f>SUM(D8:D19)</f>
        <v>300760</v>
      </c>
      <c r="E20" s="8">
        <f>SUM(E8:E19)</f>
        <v>4790</v>
      </c>
      <c r="F20" s="8">
        <f>SUM(F8:F19)</f>
        <v>295970</v>
      </c>
      <c r="G20" s="8">
        <f>SUM(G8:G19)</f>
        <v>4670</v>
      </c>
      <c r="H20" s="8">
        <f>SUM(H8:H19)</f>
        <v>305630</v>
      </c>
      <c r="I20" s="8">
        <f t="shared" ref="I20" si="4">SUM(I8:I19)</f>
        <v>0</v>
      </c>
      <c r="J20" s="8">
        <f>J12</f>
        <v>539079</v>
      </c>
      <c r="K20" s="65">
        <f>F20*100/B20</f>
        <v>24.664166666666667</v>
      </c>
      <c r="L20" s="65">
        <f>SUM(L8:L12)/5</f>
        <v>20</v>
      </c>
    </row>
    <row r="21" spans="1:12" s="88" customFormat="1" x14ac:dyDescent="0.25">
      <c r="A21"/>
      <c r="B21"/>
      <c r="C21"/>
      <c r="D21"/>
      <c r="E21"/>
      <c r="F21"/>
      <c r="G21"/>
      <c r="H21"/>
      <c r="I21"/>
      <c r="J21"/>
      <c r="K21"/>
      <c r="L21"/>
    </row>
    <row r="22" spans="1:12" s="88" customFormat="1" ht="14.25" x14ac:dyDescent="0.2">
      <c r="A22" s="87" t="s">
        <v>31</v>
      </c>
      <c r="B22" s="5"/>
      <c r="C22" s="5"/>
      <c r="D22" s="78">
        <f>F20/5</f>
        <v>59194</v>
      </c>
      <c r="E22" s="5"/>
      <c r="F22" s="89"/>
      <c r="G22" s="89"/>
      <c r="H22" s="89"/>
      <c r="I22" s="89"/>
      <c r="J22" s="90"/>
      <c r="K22" s="89"/>
      <c r="L22" s="89"/>
    </row>
    <row r="23" spans="1:12" s="5" customFormat="1" ht="14.25" x14ac:dyDescent="0.2">
      <c r="A23" s="87" t="s">
        <v>30</v>
      </c>
      <c r="D23" s="78">
        <f>B20/5</f>
        <v>240000</v>
      </c>
      <c r="F23" s="88"/>
      <c r="G23" s="88"/>
      <c r="H23" s="88"/>
      <c r="I23" s="88"/>
      <c r="J23" s="90"/>
      <c r="K23" s="88"/>
      <c r="L23" s="88"/>
    </row>
    <row r="24" spans="1:12" s="88" customFormat="1" ht="14.25" x14ac:dyDescent="0.2">
      <c r="A24" s="87" t="s">
        <v>28</v>
      </c>
      <c r="B24" s="5"/>
      <c r="C24" s="5"/>
      <c r="D24" s="78">
        <f>H20/5</f>
        <v>61126</v>
      </c>
      <c r="E24" s="5"/>
      <c r="F24" s="5"/>
      <c r="G24" s="5"/>
      <c r="H24" s="5"/>
      <c r="I24" s="5"/>
      <c r="J24" s="91"/>
      <c r="K24" s="5"/>
      <c r="L24" s="5"/>
    </row>
    <row r="25" spans="1:12" s="88" customFormat="1" ht="14.25" x14ac:dyDescent="0.2">
      <c r="A25" s="87" t="s">
        <v>29</v>
      </c>
      <c r="B25" s="5"/>
      <c r="C25" s="5"/>
      <c r="D25" s="79">
        <v>0.24660000000000001</v>
      </c>
      <c r="E25" s="5"/>
      <c r="J25" s="90"/>
    </row>
    <row r="26" spans="1:12" s="5" customFormat="1" ht="14.25" x14ac:dyDescent="0.2">
      <c r="A26" s="87" t="s">
        <v>32</v>
      </c>
      <c r="D26" s="79"/>
      <c r="F26" s="88"/>
      <c r="G26" s="88"/>
      <c r="H26" s="88"/>
      <c r="I26" s="88"/>
      <c r="J26" s="88"/>
      <c r="K26" s="88"/>
      <c r="L26" s="88"/>
    </row>
    <row r="27" spans="1:12" s="5" customFormat="1" ht="14.25" x14ac:dyDescent="0.2"/>
    <row r="28" spans="1:12" s="5" customFormat="1" ht="14.25" x14ac:dyDescent="0.2">
      <c r="J28" s="86" t="s">
        <v>49</v>
      </c>
    </row>
    <row r="29" spans="1:12" s="5" customFormat="1" ht="14.25" x14ac:dyDescent="0.2">
      <c r="J29" s="86" t="s">
        <v>50</v>
      </c>
    </row>
    <row r="30" spans="1:12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</sheetData>
  <mergeCells count="4">
    <mergeCell ref="A1:L1"/>
    <mergeCell ref="A2:L2"/>
    <mergeCell ref="A3:L3"/>
    <mergeCell ref="A4:L4"/>
  </mergeCells>
  <pageMargins left="0.25" right="0" top="0.75" bottom="0.75" header="0.3" footer="0.3"/>
  <pageSetup paperSize="9" orientation="landscape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AA3CD-454D-4557-960D-3BE4CE9CB3D4}">
  <dimension ref="A1:L30"/>
  <sheetViews>
    <sheetView view="pageLayout" topLeftCell="A18" zoomScaleNormal="110" workbookViewId="0">
      <selection activeCell="D22" sqref="D22:D27"/>
    </sheetView>
  </sheetViews>
  <sheetFormatPr defaultRowHeight="15" x14ac:dyDescent="0.25"/>
  <cols>
    <col min="1" max="1" width="11.85546875" style="66" customWidth="1"/>
    <col min="2" max="2" width="13.85546875" style="66" customWidth="1"/>
    <col min="3" max="3" width="13" style="66" customWidth="1"/>
    <col min="4" max="4" width="12.42578125" style="66" bestFit="1" customWidth="1"/>
    <col min="5" max="5" width="10.28515625" style="66" customWidth="1"/>
    <col min="6" max="6" width="12.42578125" style="66" bestFit="1" customWidth="1"/>
    <col min="7" max="7" width="10.28515625" style="66" customWidth="1"/>
    <col min="8" max="8" width="11.5703125" style="66" customWidth="1"/>
    <col min="9" max="9" width="9.42578125" style="66" customWidth="1"/>
    <col min="10" max="10" width="11.85546875" style="66" customWidth="1"/>
    <col min="11" max="11" width="13.5703125" style="66" customWidth="1"/>
    <col min="12" max="12" width="11.5703125" style="66" customWidth="1"/>
    <col min="13" max="16384" width="9.140625" style="66"/>
  </cols>
  <sheetData>
    <row r="1" spans="1:12" ht="30" x14ac:dyDescent="0.25">
      <c r="A1" s="169" t="s">
        <v>14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</row>
    <row r="2" spans="1:12" x14ac:dyDescent="0.25">
      <c r="A2" s="170" t="s">
        <v>51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</row>
    <row r="3" spans="1:12" ht="20.25" x14ac:dyDescent="0.25">
      <c r="A3" s="171" t="s">
        <v>61</v>
      </c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</row>
    <row r="4" spans="1:12" ht="20.25" x14ac:dyDescent="0.25">
      <c r="A4" s="172" t="s">
        <v>53</v>
      </c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</row>
    <row r="5" spans="1:12" s="69" customFormat="1" ht="16.5" customHeight="1" x14ac:dyDescent="0.25">
      <c r="A5" s="67"/>
      <c r="B5" s="67"/>
      <c r="C5" s="67"/>
      <c r="D5" s="66"/>
      <c r="E5" s="131"/>
      <c r="F5" s="131"/>
      <c r="G5" s="66"/>
      <c r="H5" s="131"/>
      <c r="I5" s="135" t="s">
        <v>40</v>
      </c>
      <c r="J5" s="67"/>
      <c r="K5" s="67"/>
      <c r="L5" s="67"/>
    </row>
    <row r="6" spans="1:12" s="69" customFormat="1" ht="16.5" customHeight="1" x14ac:dyDescent="0.25">
      <c r="A6" s="10" t="s">
        <v>0</v>
      </c>
      <c r="B6" s="11" t="s">
        <v>1</v>
      </c>
      <c r="C6" s="12" t="s">
        <v>2</v>
      </c>
      <c r="D6" s="11" t="s">
        <v>3</v>
      </c>
      <c r="E6" s="11" t="s">
        <v>4</v>
      </c>
      <c r="F6" s="11" t="s">
        <v>5</v>
      </c>
      <c r="G6" s="12" t="s">
        <v>6</v>
      </c>
      <c r="H6" s="11" t="s">
        <v>7</v>
      </c>
      <c r="I6" s="11" t="s">
        <v>8</v>
      </c>
      <c r="J6" s="12" t="s">
        <v>9</v>
      </c>
      <c r="K6" s="13" t="s">
        <v>1</v>
      </c>
      <c r="L6" s="14" t="s">
        <v>10</v>
      </c>
    </row>
    <row r="7" spans="1:12" s="69" customFormat="1" ht="16.5" customHeight="1" x14ac:dyDescent="0.25">
      <c r="A7" s="16"/>
      <c r="B7" s="17"/>
      <c r="C7" s="18"/>
      <c r="D7" s="17"/>
      <c r="E7" s="17"/>
      <c r="F7" s="17"/>
      <c r="G7" s="18"/>
      <c r="H7" s="17"/>
      <c r="I7" s="17"/>
      <c r="J7" s="17"/>
      <c r="K7" s="19" t="s">
        <v>11</v>
      </c>
      <c r="L7" s="20" t="s">
        <v>12</v>
      </c>
    </row>
    <row r="8" spans="1:12" s="69" customFormat="1" ht="16.5" customHeight="1" x14ac:dyDescent="0.25">
      <c r="A8" s="21" t="s">
        <v>15</v>
      </c>
      <c r="B8" s="11">
        <v>250000</v>
      </c>
      <c r="C8" s="22">
        <v>462829</v>
      </c>
      <c r="D8" s="23">
        <v>123240</v>
      </c>
      <c r="E8" s="22">
        <v>0</v>
      </c>
      <c r="F8" s="22">
        <f>D8-E8</f>
        <v>123240</v>
      </c>
      <c r="G8" s="22">
        <v>50</v>
      </c>
      <c r="H8" s="22">
        <v>76420</v>
      </c>
      <c r="I8" s="24">
        <v>0</v>
      </c>
      <c r="J8" s="22">
        <f>C8+D8-E8-G8-H8-I8</f>
        <v>509599</v>
      </c>
      <c r="K8" s="26">
        <f t="shared" ref="K8:K13" si="0">F8*100/B8</f>
        <v>49.295999999999999</v>
      </c>
      <c r="L8" s="26">
        <f>100*F8/F20</f>
        <v>19.457820863002667</v>
      </c>
    </row>
    <row r="9" spans="1:12" s="69" customFormat="1" ht="16.5" customHeight="1" x14ac:dyDescent="0.25">
      <c r="A9" s="27" t="s">
        <v>16</v>
      </c>
      <c r="B9" s="30">
        <v>300000</v>
      </c>
      <c r="C9" s="22">
        <v>509599</v>
      </c>
      <c r="D9" s="23">
        <v>61010</v>
      </c>
      <c r="E9" s="29"/>
      <c r="F9" s="22">
        <f t="shared" ref="F9:F13" si="1">D9-E9</f>
        <v>61010</v>
      </c>
      <c r="G9" s="22">
        <v>1510</v>
      </c>
      <c r="H9" s="22">
        <v>64100</v>
      </c>
      <c r="I9" s="22"/>
      <c r="J9" s="22">
        <f t="shared" ref="J9:J19" si="2">C9+D9-E9-G9-H9-I9</f>
        <v>504999</v>
      </c>
      <c r="K9" s="26">
        <f t="shared" si="0"/>
        <v>20.336666666666666</v>
      </c>
      <c r="L9" s="26">
        <f>100*F9/F20</f>
        <v>9.6326002178821231</v>
      </c>
    </row>
    <row r="10" spans="1:12" s="69" customFormat="1" ht="16.5" customHeight="1" x14ac:dyDescent="0.25">
      <c r="A10" s="27" t="s">
        <v>17</v>
      </c>
      <c r="B10" s="30">
        <v>300000</v>
      </c>
      <c r="C10" s="22">
        <v>504999</v>
      </c>
      <c r="D10" s="23">
        <v>89390</v>
      </c>
      <c r="E10" s="22"/>
      <c r="F10" s="22">
        <f t="shared" si="1"/>
        <v>89390</v>
      </c>
      <c r="G10" s="22">
        <v>920</v>
      </c>
      <c r="H10" s="22">
        <v>96320</v>
      </c>
      <c r="I10" s="22"/>
      <c r="J10" s="22">
        <f t="shared" si="2"/>
        <v>497149</v>
      </c>
      <c r="K10" s="26">
        <f t="shared" si="0"/>
        <v>29.796666666666667</v>
      </c>
      <c r="L10" s="26">
        <f>100*F10/F20</f>
        <v>14.113393435116913</v>
      </c>
    </row>
    <row r="11" spans="1:12" s="69" customFormat="1" ht="16.5" customHeight="1" x14ac:dyDescent="0.25">
      <c r="A11" s="27" t="s">
        <v>18</v>
      </c>
      <c r="B11" s="30">
        <v>400000</v>
      </c>
      <c r="C11" s="22">
        <v>497149</v>
      </c>
      <c r="D11" s="23">
        <v>131270</v>
      </c>
      <c r="E11" s="22">
        <v>0</v>
      </c>
      <c r="F11" s="22">
        <f t="shared" si="1"/>
        <v>131270</v>
      </c>
      <c r="G11" s="22">
        <v>4180</v>
      </c>
      <c r="H11" s="22">
        <v>136650</v>
      </c>
      <c r="I11" s="22">
        <v>0</v>
      </c>
      <c r="J11" s="22">
        <f t="shared" si="2"/>
        <v>487589</v>
      </c>
      <c r="K11" s="26">
        <f t="shared" si="0"/>
        <v>32.817500000000003</v>
      </c>
      <c r="L11" s="26">
        <f>100*F11/F20</f>
        <v>20.725642199662126</v>
      </c>
    </row>
    <row r="12" spans="1:12" s="69" customFormat="1" ht="16.5" customHeight="1" x14ac:dyDescent="0.25">
      <c r="A12" s="21" t="s">
        <v>27</v>
      </c>
      <c r="B12" s="11">
        <v>300000</v>
      </c>
      <c r="C12" s="22">
        <v>487589</v>
      </c>
      <c r="D12" s="23">
        <v>228460</v>
      </c>
      <c r="E12" s="22"/>
      <c r="F12" s="22">
        <f t="shared" si="1"/>
        <v>228460</v>
      </c>
      <c r="G12" s="22">
        <v>3896</v>
      </c>
      <c r="H12" s="22">
        <v>161400</v>
      </c>
      <c r="I12" s="22"/>
      <c r="J12" s="22">
        <f t="shared" si="2"/>
        <v>550753</v>
      </c>
      <c r="K12" s="26">
        <f t="shared" si="0"/>
        <v>76.153333333333336</v>
      </c>
      <c r="L12" s="26">
        <f>100*F12/F20</f>
        <v>36.070543284336168</v>
      </c>
    </row>
    <row r="13" spans="1:12" s="69" customFormat="1" ht="16.5" customHeight="1" x14ac:dyDescent="0.25">
      <c r="A13" s="27" t="s">
        <v>20</v>
      </c>
      <c r="B13" s="30"/>
      <c r="C13" s="22"/>
      <c r="D13" s="23"/>
      <c r="E13" s="22"/>
      <c r="F13" s="22">
        <f t="shared" si="1"/>
        <v>0</v>
      </c>
      <c r="G13" s="22"/>
      <c r="H13" s="22"/>
      <c r="I13" s="22"/>
      <c r="J13" s="22">
        <f t="shared" si="2"/>
        <v>0</v>
      </c>
      <c r="K13" s="26" t="e">
        <f t="shared" si="0"/>
        <v>#DIV/0!</v>
      </c>
      <c r="L13" s="26">
        <f>100*F13/F20</f>
        <v>0</v>
      </c>
    </row>
    <row r="14" spans="1:12" s="69" customFormat="1" ht="16.5" customHeight="1" x14ac:dyDescent="0.25">
      <c r="A14" s="27" t="s">
        <v>21</v>
      </c>
      <c r="B14" s="30"/>
      <c r="C14" s="22"/>
      <c r="D14" s="23"/>
      <c r="E14" s="22"/>
      <c r="F14" s="22">
        <f>D14-E14</f>
        <v>0</v>
      </c>
      <c r="G14" s="22"/>
      <c r="H14" s="22"/>
      <c r="I14" s="22"/>
      <c r="J14" s="22">
        <f t="shared" si="2"/>
        <v>0</v>
      </c>
      <c r="K14" s="26" t="e">
        <f>F14*100/B14</f>
        <v>#DIV/0!</v>
      </c>
      <c r="L14" s="26">
        <f>100*F14/F20</f>
        <v>0</v>
      </c>
    </row>
    <row r="15" spans="1:12" s="69" customFormat="1" ht="16.5" customHeight="1" x14ac:dyDescent="0.25">
      <c r="A15" s="21" t="s">
        <v>22</v>
      </c>
      <c r="B15" s="30"/>
      <c r="C15" s="22"/>
      <c r="D15" s="23"/>
      <c r="E15" s="22"/>
      <c r="F15" s="22">
        <f t="shared" ref="F15:F19" si="3">D15-E15</f>
        <v>0</v>
      </c>
      <c r="G15" s="22"/>
      <c r="H15" s="22"/>
      <c r="I15" s="24"/>
      <c r="J15" s="22">
        <f t="shared" si="2"/>
        <v>0</v>
      </c>
      <c r="K15" s="26" t="e">
        <f t="shared" ref="K15:K17" si="4">F15*100/B15</f>
        <v>#DIV/0!</v>
      </c>
      <c r="L15" s="26">
        <f>F15*100/F20</f>
        <v>0</v>
      </c>
    </row>
    <row r="16" spans="1:12" s="69" customFormat="1" ht="16.5" customHeight="1" x14ac:dyDescent="0.25">
      <c r="A16" s="31" t="s">
        <v>23</v>
      </c>
      <c r="B16" s="11"/>
      <c r="C16" s="22"/>
      <c r="D16" s="23"/>
      <c r="E16" s="22"/>
      <c r="F16" s="22">
        <f t="shared" si="3"/>
        <v>0</v>
      </c>
      <c r="G16" s="22"/>
      <c r="H16" s="22"/>
      <c r="I16" s="22"/>
      <c r="J16" s="22">
        <f t="shared" si="2"/>
        <v>0</v>
      </c>
      <c r="K16" s="26" t="e">
        <f t="shared" si="4"/>
        <v>#DIV/0!</v>
      </c>
      <c r="L16" s="26">
        <f>F16*100/F20</f>
        <v>0</v>
      </c>
    </row>
    <row r="17" spans="1:12" s="69" customFormat="1" ht="16.5" customHeight="1" x14ac:dyDescent="0.25">
      <c r="A17" s="32" t="s">
        <v>24</v>
      </c>
      <c r="B17" s="11"/>
      <c r="C17" s="22"/>
      <c r="D17" s="23"/>
      <c r="E17" s="22"/>
      <c r="F17" s="22">
        <f t="shared" si="3"/>
        <v>0</v>
      </c>
      <c r="G17" s="22"/>
      <c r="H17" s="22"/>
      <c r="I17" s="22"/>
      <c r="J17" s="22">
        <f t="shared" si="2"/>
        <v>0</v>
      </c>
      <c r="K17" s="26" t="e">
        <f t="shared" si="4"/>
        <v>#DIV/0!</v>
      </c>
      <c r="L17" s="26">
        <f>F17*100/F20</f>
        <v>0</v>
      </c>
    </row>
    <row r="18" spans="1:12" s="69" customFormat="1" ht="16.5" customHeight="1" x14ac:dyDescent="0.25">
      <c r="A18" s="32" t="s">
        <v>25</v>
      </c>
      <c r="B18" s="11"/>
      <c r="C18" s="22"/>
      <c r="D18" s="23"/>
      <c r="E18" s="22"/>
      <c r="F18" s="22">
        <f t="shared" si="3"/>
        <v>0</v>
      </c>
      <c r="G18" s="22"/>
      <c r="H18" s="22"/>
      <c r="I18" s="22"/>
      <c r="J18" s="22">
        <f t="shared" si="2"/>
        <v>0</v>
      </c>
      <c r="K18" s="26" t="e">
        <f t="shared" ref="K18:K19" si="5">F18*100/B18</f>
        <v>#DIV/0!</v>
      </c>
      <c r="L18" s="26">
        <f>F18*100/F20</f>
        <v>0</v>
      </c>
    </row>
    <row r="19" spans="1:12" s="69" customFormat="1" ht="16.5" customHeight="1" x14ac:dyDescent="0.25">
      <c r="A19" s="32" t="s">
        <v>26</v>
      </c>
      <c r="B19" s="11"/>
      <c r="C19" s="22"/>
      <c r="D19" s="23"/>
      <c r="E19" s="22"/>
      <c r="F19" s="22">
        <f t="shared" si="3"/>
        <v>0</v>
      </c>
      <c r="G19" s="22"/>
      <c r="H19" s="22"/>
      <c r="I19" s="22"/>
      <c r="J19" s="22">
        <f t="shared" si="2"/>
        <v>0</v>
      </c>
      <c r="K19" s="26" t="e">
        <f t="shared" si="5"/>
        <v>#DIV/0!</v>
      </c>
      <c r="L19" s="26">
        <f>F19*100/F20</f>
        <v>0</v>
      </c>
    </row>
    <row r="20" spans="1:12" s="69" customFormat="1" ht="16.5" customHeight="1" x14ac:dyDescent="0.25">
      <c r="A20" s="9" t="s">
        <v>13</v>
      </c>
      <c r="B20" s="9">
        <f>SUM(B8:B19)</f>
        <v>1550000</v>
      </c>
      <c r="C20" s="9">
        <f>C8</f>
        <v>462829</v>
      </c>
      <c r="D20" s="33">
        <f>SUM(D8:D19)</f>
        <v>633370</v>
      </c>
      <c r="E20" s="9">
        <f t="shared" ref="E20:I20" si="6">SUM(E8:E19)</f>
        <v>0</v>
      </c>
      <c r="F20" s="9">
        <f>SUM(F8:F19)</f>
        <v>633370</v>
      </c>
      <c r="G20" s="9">
        <f>SUM(G8:G19)</f>
        <v>10556</v>
      </c>
      <c r="H20" s="9">
        <f>SUM(H8:H19)</f>
        <v>534890</v>
      </c>
      <c r="I20" s="9">
        <f t="shared" si="6"/>
        <v>0</v>
      </c>
      <c r="J20" s="9">
        <f>J12</f>
        <v>550753</v>
      </c>
      <c r="K20" s="35">
        <f>(D20-E20)*100/B20</f>
        <v>40.862580645161287</v>
      </c>
      <c r="L20" s="35">
        <f>SUM(L8:L19)/5</f>
        <v>20</v>
      </c>
    </row>
    <row r="21" spans="1:12" ht="18.75" customHeight="1" x14ac:dyDescent="0.25">
      <c r="A21" s="69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</row>
    <row r="22" spans="1:12" ht="18.75" customHeight="1" x14ac:dyDescent="0.25">
      <c r="A22" s="108" t="s">
        <v>31</v>
      </c>
      <c r="B22" s="88"/>
      <c r="C22" s="88"/>
      <c r="D22" s="133">
        <f>F20/5</f>
        <v>126674</v>
      </c>
      <c r="E22" s="88"/>
      <c r="F22" s="89"/>
      <c r="G22" s="89"/>
      <c r="H22" s="89"/>
      <c r="I22" s="67"/>
      <c r="J22" s="73"/>
      <c r="K22" s="67"/>
      <c r="L22" s="67"/>
    </row>
    <row r="23" spans="1:12" ht="18.75" customHeight="1" x14ac:dyDescent="0.25">
      <c r="A23" s="108" t="s">
        <v>30</v>
      </c>
      <c r="B23" s="88"/>
      <c r="C23" s="88"/>
      <c r="D23" s="133">
        <f>B20/5</f>
        <v>310000</v>
      </c>
      <c r="E23" s="88"/>
      <c r="F23" s="94"/>
      <c r="G23" s="94"/>
      <c r="H23" s="94"/>
      <c r="J23" s="73"/>
    </row>
    <row r="24" spans="1:12" ht="18.75" customHeight="1" x14ac:dyDescent="0.25">
      <c r="A24" s="108" t="s">
        <v>28</v>
      </c>
      <c r="B24" s="88"/>
      <c r="C24" s="88"/>
      <c r="D24" s="133">
        <f>H20/5</f>
        <v>106978</v>
      </c>
      <c r="E24" s="88"/>
      <c r="F24" s="94"/>
      <c r="G24" s="94"/>
      <c r="H24" s="94"/>
      <c r="J24" s="73"/>
    </row>
    <row r="25" spans="1:12" ht="18.75" customHeight="1" x14ac:dyDescent="0.25">
      <c r="A25" s="108" t="s">
        <v>29</v>
      </c>
      <c r="B25" s="88"/>
      <c r="C25" s="88"/>
      <c r="D25" s="134">
        <v>0.40860000000000002</v>
      </c>
      <c r="E25" s="88"/>
      <c r="F25" s="94"/>
      <c r="G25" s="94"/>
      <c r="H25" s="94"/>
      <c r="J25" s="73"/>
    </row>
    <row r="26" spans="1:12" x14ac:dyDescent="0.25">
      <c r="A26" s="108" t="s">
        <v>32</v>
      </c>
      <c r="B26" s="88"/>
      <c r="C26" s="88"/>
      <c r="D26" s="134"/>
      <c r="E26" s="88"/>
      <c r="F26" s="94"/>
      <c r="G26" s="94"/>
      <c r="H26" s="94"/>
    </row>
    <row r="29" spans="1:12" x14ac:dyDescent="0.25">
      <c r="J29" s="86" t="s">
        <v>49</v>
      </c>
    </row>
    <row r="30" spans="1:12" x14ac:dyDescent="0.25">
      <c r="J30" s="86" t="s">
        <v>50</v>
      </c>
    </row>
  </sheetData>
  <mergeCells count="4">
    <mergeCell ref="A1:L1"/>
    <mergeCell ref="A2:L2"/>
    <mergeCell ref="A3:L3"/>
    <mergeCell ref="A4:L4"/>
  </mergeCells>
  <pageMargins left="0.25" right="0" top="0.75" bottom="0.15" header="0.3" footer="0.3"/>
  <pageSetup paperSize="9" orientation="landscape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B6F15-A5F6-461A-A4BA-066571C99E16}">
  <dimension ref="A1:L30"/>
  <sheetViews>
    <sheetView view="pageLayout" topLeftCell="A10" zoomScale="110" zoomScaleNormal="100" zoomScalePageLayoutView="110" workbookViewId="0">
      <selection activeCell="I5" sqref="I5"/>
    </sheetView>
  </sheetViews>
  <sheetFormatPr defaultRowHeight="15" x14ac:dyDescent="0.25"/>
  <cols>
    <col min="1" max="1" width="9.140625" style="66"/>
    <col min="2" max="2" width="11.140625" style="66" bestFit="1" customWidth="1"/>
    <col min="3" max="3" width="12.140625" style="66" bestFit="1" customWidth="1"/>
    <col min="4" max="4" width="11.140625" style="66" bestFit="1" customWidth="1"/>
    <col min="5" max="5" width="9.140625" style="66"/>
    <col min="6" max="6" width="11.140625" style="66" bestFit="1" customWidth="1"/>
    <col min="7" max="7" width="10.28515625" style="66" customWidth="1"/>
    <col min="8" max="8" width="10.85546875" style="66" customWidth="1"/>
    <col min="9" max="9" width="9.140625" style="66"/>
    <col min="10" max="10" width="13.28515625" style="66" customWidth="1"/>
    <col min="11" max="11" width="13.5703125" style="66" customWidth="1"/>
    <col min="12" max="12" width="10.85546875" style="66" customWidth="1"/>
    <col min="13" max="16384" width="9.140625" style="66"/>
  </cols>
  <sheetData>
    <row r="1" spans="1:12" ht="30" x14ac:dyDescent="0.25">
      <c r="A1" s="169" t="s">
        <v>14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</row>
    <row r="2" spans="1:12" x14ac:dyDescent="0.25">
      <c r="A2" s="170" t="s">
        <v>51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</row>
    <row r="3" spans="1:12" ht="20.25" x14ac:dyDescent="0.25">
      <c r="A3" s="171" t="s">
        <v>62</v>
      </c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</row>
    <row r="4" spans="1:12" ht="20.25" x14ac:dyDescent="0.25">
      <c r="A4" s="172" t="s">
        <v>53</v>
      </c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</row>
    <row r="5" spans="1:12" s="88" customFormat="1" ht="14.25" x14ac:dyDescent="0.25">
      <c r="A5" s="67"/>
      <c r="B5" s="67"/>
      <c r="C5" s="67"/>
      <c r="E5" s="131"/>
      <c r="F5" s="131"/>
      <c r="G5" s="131"/>
      <c r="I5" s="135" t="s">
        <v>63</v>
      </c>
      <c r="J5" s="67"/>
      <c r="K5" s="67"/>
      <c r="L5" s="67"/>
    </row>
    <row r="6" spans="1:12" s="88" customFormat="1" ht="18" customHeight="1" x14ac:dyDescent="0.25">
      <c r="A6" s="98" t="s">
        <v>0</v>
      </c>
      <c r="B6" s="99" t="s">
        <v>1</v>
      </c>
      <c r="C6" s="100" t="s">
        <v>2</v>
      </c>
      <c r="D6" s="99" t="s">
        <v>3</v>
      </c>
      <c r="E6" s="99" t="s">
        <v>4</v>
      </c>
      <c r="F6" s="99" t="s">
        <v>5</v>
      </c>
      <c r="G6" s="100" t="s">
        <v>6</v>
      </c>
      <c r="H6" s="99" t="s">
        <v>7</v>
      </c>
      <c r="I6" s="99" t="s">
        <v>8</v>
      </c>
      <c r="J6" s="100" t="s">
        <v>9</v>
      </c>
      <c r="K6" s="101" t="s">
        <v>1</v>
      </c>
      <c r="L6" s="102" t="s">
        <v>10</v>
      </c>
    </row>
    <row r="7" spans="1:12" s="88" customFormat="1" ht="14.25" x14ac:dyDescent="0.25">
      <c r="A7" s="103"/>
      <c r="B7" s="104"/>
      <c r="C7" s="105"/>
      <c r="D7" s="104"/>
      <c r="E7" s="104"/>
      <c r="F7" s="104"/>
      <c r="G7" s="105"/>
      <c r="H7" s="104"/>
      <c r="I7" s="104"/>
      <c r="J7" s="105"/>
      <c r="K7" s="106" t="s">
        <v>11</v>
      </c>
      <c r="L7" s="107" t="s">
        <v>12</v>
      </c>
    </row>
    <row r="8" spans="1:12" s="88" customFormat="1" ht="17.25" customHeight="1" x14ac:dyDescent="0.25">
      <c r="A8" s="136" t="s">
        <v>15</v>
      </c>
      <c r="B8" s="99">
        <v>150000</v>
      </c>
      <c r="C8" s="137">
        <v>943644</v>
      </c>
      <c r="D8" s="138">
        <v>10850</v>
      </c>
      <c r="E8" s="137">
        <v>0</v>
      </c>
      <c r="F8" s="137">
        <f t="shared" ref="F8:F13" si="0">D8-E8</f>
        <v>10850</v>
      </c>
      <c r="G8" s="137">
        <v>89231</v>
      </c>
      <c r="H8" s="137">
        <v>329500</v>
      </c>
      <c r="I8" s="139">
        <v>0</v>
      </c>
      <c r="J8" s="137">
        <f>C8+D8-E8-G8-H8-I8</f>
        <v>535763</v>
      </c>
      <c r="K8" s="140">
        <f>F8*100/B8</f>
        <v>7.2333333333333334</v>
      </c>
      <c r="L8" s="141">
        <f>100*F8/F20</f>
        <v>5.1284960035544964</v>
      </c>
    </row>
    <row r="9" spans="1:12" s="88" customFormat="1" ht="17.25" customHeight="1" x14ac:dyDescent="0.25">
      <c r="A9" s="142" t="s">
        <v>16</v>
      </c>
      <c r="B9" s="143">
        <v>250000</v>
      </c>
      <c r="C9" s="137">
        <v>535763</v>
      </c>
      <c r="D9" s="138">
        <v>86300</v>
      </c>
      <c r="E9" s="144">
        <v>13594</v>
      </c>
      <c r="F9" s="137">
        <f t="shared" si="0"/>
        <v>72706</v>
      </c>
      <c r="G9" s="137">
        <v>3452</v>
      </c>
      <c r="H9" s="137">
        <v>15000</v>
      </c>
      <c r="I9" s="137">
        <v>0</v>
      </c>
      <c r="J9" s="137">
        <f t="shared" ref="J9:J19" si="1">C9+D9-E9-G9-H9-I9</f>
        <v>590017</v>
      </c>
      <c r="K9" s="140">
        <f t="shared" ref="K9:K19" si="2">F9*100/B9</f>
        <v>29.0824</v>
      </c>
      <c r="L9" s="141">
        <f>100*F9/F20</f>
        <v>34.36612262068509</v>
      </c>
    </row>
    <row r="10" spans="1:12" s="88" customFormat="1" ht="17.25" customHeight="1" x14ac:dyDescent="0.25">
      <c r="A10" s="142" t="s">
        <v>17</v>
      </c>
      <c r="B10" s="143">
        <v>250000</v>
      </c>
      <c r="C10" s="137">
        <v>590017</v>
      </c>
      <c r="D10" s="138">
        <v>46340</v>
      </c>
      <c r="E10" s="137">
        <v>20160</v>
      </c>
      <c r="F10" s="137">
        <f t="shared" si="0"/>
        <v>26180</v>
      </c>
      <c r="G10" s="137">
        <v>1134</v>
      </c>
      <c r="H10" s="137">
        <v>30000</v>
      </c>
      <c r="I10" s="137">
        <v>0</v>
      </c>
      <c r="J10" s="137">
        <f t="shared" si="1"/>
        <v>585063</v>
      </c>
      <c r="K10" s="140">
        <f t="shared" si="2"/>
        <v>10.472</v>
      </c>
      <c r="L10" s="141">
        <f>100*F10/F20</f>
        <v>12.37456455051214</v>
      </c>
    </row>
    <row r="11" spans="1:12" s="88" customFormat="1" ht="17.25" customHeight="1" x14ac:dyDescent="0.25">
      <c r="A11" s="142" t="s">
        <v>18</v>
      </c>
      <c r="B11" s="143">
        <v>275000</v>
      </c>
      <c r="C11" s="137">
        <v>585063</v>
      </c>
      <c r="D11" s="138">
        <v>93050</v>
      </c>
      <c r="E11" s="137">
        <v>29933</v>
      </c>
      <c r="F11" s="137">
        <f t="shared" si="0"/>
        <v>63117</v>
      </c>
      <c r="G11" s="137">
        <v>3013</v>
      </c>
      <c r="H11" s="137">
        <v>55000</v>
      </c>
      <c r="I11" s="137">
        <v>0</v>
      </c>
      <c r="J11" s="137">
        <f t="shared" si="1"/>
        <v>590167</v>
      </c>
      <c r="K11" s="140">
        <f t="shared" si="2"/>
        <v>22.951636363636364</v>
      </c>
      <c r="L11" s="141">
        <f>100*F11/F20</f>
        <v>29.833666567405455</v>
      </c>
    </row>
    <row r="12" spans="1:12" s="88" customFormat="1" ht="17.25" customHeight="1" x14ac:dyDescent="0.25">
      <c r="A12" s="136" t="s">
        <v>27</v>
      </c>
      <c r="B12" s="99">
        <v>275000</v>
      </c>
      <c r="C12" s="137">
        <v>590167</v>
      </c>
      <c r="D12" s="138">
        <v>38710</v>
      </c>
      <c r="E12" s="137"/>
      <c r="F12" s="137">
        <f t="shared" si="0"/>
        <v>38710</v>
      </c>
      <c r="G12" s="137">
        <v>1548</v>
      </c>
      <c r="H12" s="137">
        <v>10000</v>
      </c>
      <c r="I12" s="137"/>
      <c r="J12" s="137">
        <f t="shared" si="1"/>
        <v>617329</v>
      </c>
      <c r="K12" s="140">
        <f t="shared" si="2"/>
        <v>14.076363636363636</v>
      </c>
      <c r="L12" s="141">
        <f>100*F12/F20</f>
        <v>18.297150257842816</v>
      </c>
    </row>
    <row r="13" spans="1:12" s="88" customFormat="1" ht="17.25" customHeight="1" x14ac:dyDescent="0.25">
      <c r="A13" s="142" t="s">
        <v>20</v>
      </c>
      <c r="B13" s="143"/>
      <c r="C13" s="137"/>
      <c r="D13" s="138"/>
      <c r="E13" s="137"/>
      <c r="F13" s="137">
        <f t="shared" si="0"/>
        <v>0</v>
      </c>
      <c r="G13" s="137"/>
      <c r="H13" s="137"/>
      <c r="I13" s="137"/>
      <c r="J13" s="137">
        <f t="shared" si="1"/>
        <v>0</v>
      </c>
      <c r="K13" s="140" t="e">
        <f t="shared" si="2"/>
        <v>#DIV/0!</v>
      </c>
      <c r="L13" s="141">
        <f>100*F13/F20</f>
        <v>0</v>
      </c>
    </row>
    <row r="14" spans="1:12" s="88" customFormat="1" ht="17.25" customHeight="1" x14ac:dyDescent="0.25">
      <c r="A14" s="142" t="s">
        <v>21</v>
      </c>
      <c r="B14" s="143"/>
      <c r="C14" s="137"/>
      <c r="D14" s="138"/>
      <c r="E14" s="137"/>
      <c r="F14" s="137">
        <f>D14-E14</f>
        <v>0</v>
      </c>
      <c r="G14" s="137"/>
      <c r="H14" s="137"/>
      <c r="I14" s="137"/>
      <c r="J14" s="137">
        <f t="shared" si="1"/>
        <v>0</v>
      </c>
      <c r="K14" s="140" t="e">
        <f t="shared" si="2"/>
        <v>#DIV/0!</v>
      </c>
      <c r="L14" s="141">
        <f>100*F14/F20</f>
        <v>0</v>
      </c>
    </row>
    <row r="15" spans="1:12" s="88" customFormat="1" ht="17.25" customHeight="1" x14ac:dyDescent="0.25">
      <c r="A15" s="136" t="s">
        <v>22</v>
      </c>
      <c r="B15" s="143"/>
      <c r="C15" s="137"/>
      <c r="D15" s="138"/>
      <c r="E15" s="137"/>
      <c r="F15" s="137">
        <f t="shared" ref="F15:F19" si="3">D15-E15</f>
        <v>0</v>
      </c>
      <c r="G15" s="137"/>
      <c r="H15" s="137"/>
      <c r="I15" s="139"/>
      <c r="J15" s="137">
        <f t="shared" si="1"/>
        <v>0</v>
      </c>
      <c r="K15" s="140" t="e">
        <f t="shared" si="2"/>
        <v>#DIV/0!</v>
      </c>
      <c r="L15" s="141">
        <f>100*F15/F20</f>
        <v>0</v>
      </c>
    </row>
    <row r="16" spans="1:12" s="88" customFormat="1" ht="17.25" customHeight="1" x14ac:dyDescent="0.25">
      <c r="A16" s="145" t="s">
        <v>23</v>
      </c>
      <c r="B16" s="143"/>
      <c r="C16" s="137"/>
      <c r="D16" s="138"/>
      <c r="E16" s="137"/>
      <c r="F16" s="137">
        <f t="shared" si="3"/>
        <v>0</v>
      </c>
      <c r="G16" s="137"/>
      <c r="H16" s="137"/>
      <c r="I16" s="137"/>
      <c r="J16" s="137">
        <f t="shared" si="1"/>
        <v>0</v>
      </c>
      <c r="K16" s="140" t="e">
        <f t="shared" si="2"/>
        <v>#DIV/0!</v>
      </c>
      <c r="L16" s="141">
        <f>100*F16/F20</f>
        <v>0</v>
      </c>
    </row>
    <row r="17" spans="1:12" s="88" customFormat="1" ht="17.25" customHeight="1" x14ac:dyDescent="0.25">
      <c r="A17" s="146" t="s">
        <v>24</v>
      </c>
      <c r="B17" s="99"/>
      <c r="C17" s="137"/>
      <c r="D17" s="138"/>
      <c r="E17" s="137"/>
      <c r="F17" s="137">
        <f t="shared" si="3"/>
        <v>0</v>
      </c>
      <c r="G17" s="137"/>
      <c r="H17" s="137"/>
      <c r="I17" s="137"/>
      <c r="J17" s="137">
        <f t="shared" si="1"/>
        <v>0</v>
      </c>
      <c r="K17" s="140" t="e">
        <f t="shared" si="2"/>
        <v>#DIV/0!</v>
      </c>
      <c r="L17" s="141">
        <f>100*F17/F20</f>
        <v>0</v>
      </c>
    </row>
    <row r="18" spans="1:12" s="88" customFormat="1" ht="17.25" customHeight="1" x14ac:dyDescent="0.25">
      <c r="A18" s="146" t="s">
        <v>25</v>
      </c>
      <c r="B18" s="99"/>
      <c r="C18" s="137"/>
      <c r="D18" s="138"/>
      <c r="E18" s="137"/>
      <c r="F18" s="137">
        <f t="shared" si="3"/>
        <v>0</v>
      </c>
      <c r="G18" s="137"/>
      <c r="H18" s="137"/>
      <c r="I18" s="137"/>
      <c r="J18" s="137">
        <f t="shared" si="1"/>
        <v>0</v>
      </c>
      <c r="K18" s="140" t="e">
        <f t="shared" si="2"/>
        <v>#DIV/0!</v>
      </c>
      <c r="L18" s="141">
        <f>100*F18/F20</f>
        <v>0</v>
      </c>
    </row>
    <row r="19" spans="1:12" s="88" customFormat="1" ht="17.25" customHeight="1" x14ac:dyDescent="0.25">
      <c r="A19" s="146" t="s">
        <v>26</v>
      </c>
      <c r="B19" s="99"/>
      <c r="C19" s="137"/>
      <c r="D19" s="138"/>
      <c r="E19" s="137"/>
      <c r="F19" s="137">
        <f t="shared" si="3"/>
        <v>0</v>
      </c>
      <c r="G19" s="137"/>
      <c r="H19" s="137"/>
      <c r="I19" s="137"/>
      <c r="J19" s="137">
        <f t="shared" si="1"/>
        <v>0</v>
      </c>
      <c r="K19" s="140" t="e">
        <f t="shared" si="2"/>
        <v>#DIV/0!</v>
      </c>
      <c r="L19" s="141">
        <f>100*F19/F20</f>
        <v>0</v>
      </c>
    </row>
    <row r="20" spans="1:12" s="150" customFormat="1" ht="17.25" customHeight="1" x14ac:dyDescent="0.25">
      <c r="A20" s="147" t="s">
        <v>13</v>
      </c>
      <c r="B20" s="147">
        <f>SUM(B8:B19)</f>
        <v>1200000</v>
      </c>
      <c r="C20" s="147">
        <f>C8</f>
        <v>943644</v>
      </c>
      <c r="D20" s="148">
        <f>SUM(D8:D19)</f>
        <v>275250</v>
      </c>
      <c r="E20" s="147">
        <f t="shared" ref="E20:I20" si="4">SUM(E8:E19)</f>
        <v>63687</v>
      </c>
      <c r="F20" s="147">
        <f t="shared" si="4"/>
        <v>211563</v>
      </c>
      <c r="G20" s="147">
        <f t="shared" si="4"/>
        <v>98378</v>
      </c>
      <c r="H20" s="147">
        <f t="shared" si="4"/>
        <v>439500</v>
      </c>
      <c r="I20" s="147">
        <f t="shared" si="4"/>
        <v>0</v>
      </c>
      <c r="J20" s="147">
        <f>J12</f>
        <v>617329</v>
      </c>
      <c r="K20" s="149">
        <f>F20*100/B20</f>
        <v>17.63025</v>
      </c>
      <c r="L20" s="149">
        <f>SUM(L8:L19)/5</f>
        <v>20</v>
      </c>
    </row>
    <row r="21" spans="1:12" s="88" customFormat="1" ht="14.25" x14ac:dyDescent="0.25"/>
    <row r="22" spans="1:12" s="88" customFormat="1" ht="14.25" x14ac:dyDescent="0.25">
      <c r="A22" s="92" t="s">
        <v>65</v>
      </c>
      <c r="B22" s="93"/>
      <c r="D22" s="133">
        <f>F20/5</f>
        <v>42312.6</v>
      </c>
      <c r="E22" s="133"/>
      <c r="F22" s="89"/>
      <c r="G22" s="89"/>
      <c r="H22" s="89"/>
      <c r="I22" s="89"/>
      <c r="J22" s="90"/>
      <c r="K22" s="89"/>
      <c r="L22" s="89"/>
    </row>
    <row r="23" spans="1:12" s="88" customFormat="1" ht="19.5" x14ac:dyDescent="0.25">
      <c r="A23" s="108" t="s">
        <v>30</v>
      </c>
      <c r="D23" s="133">
        <f>B20/5</f>
        <v>240000</v>
      </c>
      <c r="E23" s="133"/>
      <c r="H23" s="97"/>
      <c r="J23" s="90"/>
    </row>
    <row r="24" spans="1:12" s="88" customFormat="1" ht="14.25" x14ac:dyDescent="0.25">
      <c r="A24" s="108" t="s">
        <v>28</v>
      </c>
      <c r="D24" s="133">
        <f>H20/5</f>
        <v>87900</v>
      </c>
      <c r="E24" s="133"/>
      <c r="J24" s="90"/>
    </row>
    <row r="25" spans="1:12" s="88" customFormat="1" ht="14.25" x14ac:dyDescent="0.25">
      <c r="A25" s="108" t="s">
        <v>29</v>
      </c>
      <c r="D25" s="134">
        <v>0.17630000000000001</v>
      </c>
      <c r="E25" s="134"/>
      <c r="J25" s="90"/>
    </row>
    <row r="26" spans="1:12" s="88" customFormat="1" ht="14.25" x14ac:dyDescent="0.25">
      <c r="A26" s="108" t="s">
        <v>32</v>
      </c>
      <c r="D26" s="134"/>
      <c r="E26" s="134"/>
    </row>
    <row r="27" spans="1:12" s="88" customFormat="1" x14ac:dyDescent="0.25">
      <c r="D27" s="66"/>
      <c r="E27" s="66"/>
    </row>
    <row r="28" spans="1:12" s="88" customFormat="1" ht="14.25" x14ac:dyDescent="0.25"/>
    <row r="29" spans="1:12" s="88" customFormat="1" ht="14.25" x14ac:dyDescent="0.25">
      <c r="J29" s="86" t="s">
        <v>49</v>
      </c>
    </row>
    <row r="30" spans="1:12" s="88" customFormat="1" ht="14.25" x14ac:dyDescent="0.25">
      <c r="J30" s="86" t="s">
        <v>50</v>
      </c>
    </row>
  </sheetData>
  <mergeCells count="4">
    <mergeCell ref="A1:L1"/>
    <mergeCell ref="A2:L2"/>
    <mergeCell ref="A3:L3"/>
    <mergeCell ref="A4:L4"/>
  </mergeCells>
  <pageMargins left="0.7" right="0.12" top="0.75" bottom="0.75" header="0.3" footer="0.3"/>
  <pageSetup paperSize="9" orientation="landscape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9"/>
  <sheetViews>
    <sheetView view="pageLayout" topLeftCell="A15" zoomScaleNormal="115" workbookViewId="0">
      <selection activeCell="C8" sqref="C8"/>
    </sheetView>
  </sheetViews>
  <sheetFormatPr defaultRowHeight="14.25" x14ac:dyDescent="0.25"/>
  <cols>
    <col min="1" max="1" width="9.85546875" style="88" customWidth="1"/>
    <col min="2" max="3" width="12.140625" style="88" customWidth="1"/>
    <col min="4" max="4" width="9.85546875" style="88" bestFit="1" customWidth="1"/>
    <col min="5" max="5" width="10.140625" style="88" customWidth="1"/>
    <col min="6" max="6" width="13.42578125" style="88" customWidth="1"/>
    <col min="7" max="7" width="10.7109375" style="88" customWidth="1"/>
    <col min="8" max="8" width="12.28515625" style="88" customWidth="1"/>
    <col min="9" max="9" width="7.7109375" style="88" customWidth="1"/>
    <col min="10" max="11" width="12.7109375" style="88" customWidth="1"/>
    <col min="12" max="12" width="9.85546875" style="88" customWidth="1"/>
    <col min="13" max="16384" width="9.140625" style="88"/>
  </cols>
  <sheetData>
    <row r="1" spans="1:12" ht="30" x14ac:dyDescent="0.25">
      <c r="A1" s="169" t="s">
        <v>14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</row>
    <row r="2" spans="1:12" ht="15" x14ac:dyDescent="0.25">
      <c r="A2" s="170" t="s">
        <v>51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</row>
    <row r="3" spans="1:12" ht="20.25" x14ac:dyDescent="0.25">
      <c r="A3" s="171" t="s">
        <v>66</v>
      </c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</row>
    <row r="4" spans="1:12" ht="20.25" x14ac:dyDescent="0.25">
      <c r="A4" s="172" t="s">
        <v>53</v>
      </c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</row>
    <row r="5" spans="1:12" ht="17.25" customHeight="1" x14ac:dyDescent="0.25">
      <c r="A5" s="67"/>
      <c r="B5" s="67"/>
      <c r="C5" s="67"/>
      <c r="E5" s="131"/>
      <c r="F5" s="131"/>
      <c r="G5" s="131"/>
      <c r="I5" s="67"/>
      <c r="J5" s="135" t="s">
        <v>64</v>
      </c>
      <c r="K5" s="67"/>
      <c r="L5" s="67"/>
    </row>
    <row r="6" spans="1:12" ht="17.25" customHeight="1" x14ac:dyDescent="0.25">
      <c r="A6" s="98" t="s">
        <v>0</v>
      </c>
      <c r="B6" s="99" t="s">
        <v>1</v>
      </c>
      <c r="C6" s="100" t="s">
        <v>2</v>
      </c>
      <c r="D6" s="99" t="s">
        <v>3</v>
      </c>
      <c r="E6" s="99" t="s">
        <v>4</v>
      </c>
      <c r="F6" s="99" t="s">
        <v>5</v>
      </c>
      <c r="G6" s="100" t="s">
        <v>6</v>
      </c>
      <c r="H6" s="99" t="s">
        <v>7</v>
      </c>
      <c r="I6" s="99" t="s">
        <v>8</v>
      </c>
      <c r="J6" s="100" t="s">
        <v>9</v>
      </c>
      <c r="K6" s="101" t="s">
        <v>1</v>
      </c>
      <c r="L6" s="102" t="s">
        <v>10</v>
      </c>
    </row>
    <row r="7" spans="1:12" ht="17.25" customHeight="1" x14ac:dyDescent="0.25">
      <c r="A7" s="103"/>
      <c r="B7" s="104"/>
      <c r="C7" s="105"/>
      <c r="D7" s="104"/>
      <c r="E7" s="104"/>
      <c r="F7" s="104"/>
      <c r="G7" s="105"/>
      <c r="H7" s="104"/>
      <c r="I7" s="104"/>
      <c r="J7" s="105"/>
      <c r="K7" s="106" t="s">
        <v>11</v>
      </c>
      <c r="L7" s="107" t="s">
        <v>12</v>
      </c>
    </row>
    <row r="8" spans="1:12" ht="17.25" customHeight="1" x14ac:dyDescent="0.25">
      <c r="A8" s="136" t="s">
        <v>15</v>
      </c>
      <c r="B8" s="99">
        <v>150000</v>
      </c>
      <c r="C8" s="137">
        <v>27165</v>
      </c>
      <c r="D8" s="138">
        <v>66200</v>
      </c>
      <c r="E8" s="137">
        <v>6565</v>
      </c>
      <c r="F8" s="137">
        <f t="shared" ref="F8:F13" si="0">D8-E8</f>
        <v>59635</v>
      </c>
      <c r="G8" s="137">
        <v>2648</v>
      </c>
      <c r="H8" s="137">
        <v>5000</v>
      </c>
      <c r="I8" s="139">
        <v>0</v>
      </c>
      <c r="J8" s="137">
        <f>C8+D8-E8-G8-H8-I8</f>
        <v>79152</v>
      </c>
      <c r="K8" s="140">
        <f>F8*100/B8</f>
        <v>39.756666666666668</v>
      </c>
      <c r="L8" s="141">
        <f>100*F8/F20</f>
        <v>10.364454795091939</v>
      </c>
    </row>
    <row r="9" spans="1:12" ht="17.25" customHeight="1" x14ac:dyDescent="0.25">
      <c r="A9" s="142" t="s">
        <v>16</v>
      </c>
      <c r="B9" s="143">
        <v>250000</v>
      </c>
      <c r="C9" s="137">
        <v>79152</v>
      </c>
      <c r="D9" s="138">
        <v>97375</v>
      </c>
      <c r="E9" s="144"/>
      <c r="F9" s="137">
        <f t="shared" si="0"/>
        <v>97375</v>
      </c>
      <c r="G9" s="137">
        <v>3922</v>
      </c>
      <c r="H9" s="137">
        <v>33850</v>
      </c>
      <c r="I9" s="137">
        <v>0</v>
      </c>
      <c r="J9" s="137">
        <f t="shared" ref="J9:J19" si="1">C9+D9-E9-G9-H9-I9</f>
        <v>138755</v>
      </c>
      <c r="K9" s="140">
        <f t="shared" ref="K9:K19" si="2">F9*100/B9</f>
        <v>38.950000000000003</v>
      </c>
      <c r="L9" s="141">
        <f>100*F9/F20</f>
        <v>16.923598317633562</v>
      </c>
    </row>
    <row r="10" spans="1:12" ht="17.25" customHeight="1" x14ac:dyDescent="0.25">
      <c r="A10" s="142" t="s">
        <v>17</v>
      </c>
      <c r="B10" s="143">
        <v>250000</v>
      </c>
      <c r="C10" s="137">
        <v>138755</v>
      </c>
      <c r="D10" s="138">
        <v>158050</v>
      </c>
      <c r="E10" s="137"/>
      <c r="F10" s="137">
        <f t="shared" si="0"/>
        <v>158050</v>
      </c>
      <c r="G10" s="137">
        <v>6276</v>
      </c>
      <c r="H10" s="137">
        <v>105000</v>
      </c>
      <c r="I10" s="137">
        <v>0</v>
      </c>
      <c r="J10" s="137">
        <f t="shared" si="1"/>
        <v>185529</v>
      </c>
      <c r="K10" s="140">
        <f t="shared" si="2"/>
        <v>63.22</v>
      </c>
      <c r="L10" s="141">
        <f>100*F10/F20</f>
        <v>27.468803225694323</v>
      </c>
    </row>
    <row r="11" spans="1:12" ht="17.25" customHeight="1" x14ac:dyDescent="0.25">
      <c r="A11" s="142" t="s">
        <v>18</v>
      </c>
      <c r="B11" s="143">
        <v>275000</v>
      </c>
      <c r="C11" s="137">
        <v>185529</v>
      </c>
      <c r="D11" s="138">
        <v>210320</v>
      </c>
      <c r="E11" s="137"/>
      <c r="F11" s="137">
        <f t="shared" si="0"/>
        <v>210320</v>
      </c>
      <c r="G11" s="137">
        <v>9660</v>
      </c>
      <c r="H11" s="137">
        <v>40000</v>
      </c>
      <c r="I11" s="137">
        <v>0</v>
      </c>
      <c r="J11" s="137">
        <f t="shared" si="1"/>
        <v>346189</v>
      </c>
      <c r="K11" s="140">
        <f t="shared" si="2"/>
        <v>76.48</v>
      </c>
      <c r="L11" s="141">
        <f>100*F11/F20</f>
        <v>36.553234384233029</v>
      </c>
    </row>
    <row r="12" spans="1:12" ht="17.25" customHeight="1" x14ac:dyDescent="0.25">
      <c r="A12" s="136" t="s">
        <v>27</v>
      </c>
      <c r="B12" s="99">
        <v>275000</v>
      </c>
      <c r="C12" s="137">
        <v>346189</v>
      </c>
      <c r="D12" s="138">
        <v>50000</v>
      </c>
      <c r="E12" s="137"/>
      <c r="F12" s="137">
        <f t="shared" si="0"/>
        <v>50000</v>
      </c>
      <c r="G12" s="137">
        <v>2000</v>
      </c>
      <c r="H12" s="137">
        <v>145000</v>
      </c>
      <c r="I12" s="137"/>
      <c r="J12" s="137">
        <f t="shared" si="1"/>
        <v>249189</v>
      </c>
      <c r="K12" s="140">
        <f t="shared" si="2"/>
        <v>18.181818181818183</v>
      </c>
      <c r="L12" s="141">
        <f>100*F12/F20</f>
        <v>8.6899092773471445</v>
      </c>
    </row>
    <row r="13" spans="1:12" ht="17.25" customHeight="1" x14ac:dyDescent="0.25">
      <c r="A13" s="142" t="s">
        <v>20</v>
      </c>
      <c r="B13" s="143"/>
      <c r="C13" s="137"/>
      <c r="D13" s="138"/>
      <c r="E13" s="137"/>
      <c r="F13" s="137">
        <f t="shared" si="0"/>
        <v>0</v>
      </c>
      <c r="G13" s="137"/>
      <c r="H13" s="137"/>
      <c r="I13" s="137"/>
      <c r="J13" s="137">
        <f t="shared" si="1"/>
        <v>0</v>
      </c>
      <c r="K13" s="140" t="e">
        <f t="shared" si="2"/>
        <v>#DIV/0!</v>
      </c>
      <c r="L13" s="141">
        <f>100*F13/F20</f>
        <v>0</v>
      </c>
    </row>
    <row r="14" spans="1:12" ht="17.25" customHeight="1" x14ac:dyDescent="0.25">
      <c r="A14" s="142" t="s">
        <v>21</v>
      </c>
      <c r="B14" s="143"/>
      <c r="C14" s="137"/>
      <c r="D14" s="138"/>
      <c r="E14" s="137"/>
      <c r="F14" s="137">
        <f>D14-E14</f>
        <v>0</v>
      </c>
      <c r="G14" s="137"/>
      <c r="H14" s="137"/>
      <c r="I14" s="137"/>
      <c r="J14" s="137">
        <f t="shared" si="1"/>
        <v>0</v>
      </c>
      <c r="K14" s="140" t="e">
        <f t="shared" si="2"/>
        <v>#DIV/0!</v>
      </c>
      <c r="L14" s="141">
        <f>100*F14/F20</f>
        <v>0</v>
      </c>
    </row>
    <row r="15" spans="1:12" ht="17.25" customHeight="1" x14ac:dyDescent="0.25">
      <c r="A15" s="136" t="s">
        <v>22</v>
      </c>
      <c r="B15" s="143"/>
      <c r="C15" s="137"/>
      <c r="D15" s="138"/>
      <c r="E15" s="137"/>
      <c r="F15" s="137">
        <f t="shared" ref="F15:F19" si="3">D15-E15</f>
        <v>0</v>
      </c>
      <c r="G15" s="137"/>
      <c r="H15" s="137"/>
      <c r="I15" s="139"/>
      <c r="J15" s="137">
        <f t="shared" si="1"/>
        <v>0</v>
      </c>
      <c r="K15" s="140" t="e">
        <f t="shared" si="2"/>
        <v>#DIV/0!</v>
      </c>
      <c r="L15" s="141">
        <f>100*F15/F20</f>
        <v>0</v>
      </c>
    </row>
    <row r="16" spans="1:12" ht="17.25" customHeight="1" x14ac:dyDescent="0.25">
      <c r="A16" s="145" t="s">
        <v>23</v>
      </c>
      <c r="B16" s="143"/>
      <c r="C16" s="137"/>
      <c r="D16" s="138"/>
      <c r="E16" s="137"/>
      <c r="F16" s="137">
        <f t="shared" si="3"/>
        <v>0</v>
      </c>
      <c r="G16" s="137"/>
      <c r="H16" s="137"/>
      <c r="I16" s="137"/>
      <c r="J16" s="137">
        <f t="shared" si="1"/>
        <v>0</v>
      </c>
      <c r="K16" s="140" t="e">
        <f t="shared" si="2"/>
        <v>#DIV/0!</v>
      </c>
      <c r="L16" s="141">
        <f>100*F16/F20</f>
        <v>0</v>
      </c>
    </row>
    <row r="17" spans="1:12" ht="17.25" customHeight="1" x14ac:dyDescent="0.25">
      <c r="A17" s="146" t="s">
        <v>24</v>
      </c>
      <c r="B17" s="99"/>
      <c r="C17" s="137"/>
      <c r="D17" s="138"/>
      <c r="E17" s="137"/>
      <c r="F17" s="137">
        <f t="shared" si="3"/>
        <v>0</v>
      </c>
      <c r="G17" s="137"/>
      <c r="H17" s="137"/>
      <c r="I17" s="137"/>
      <c r="J17" s="137">
        <f t="shared" si="1"/>
        <v>0</v>
      </c>
      <c r="K17" s="140" t="e">
        <f t="shared" si="2"/>
        <v>#DIV/0!</v>
      </c>
      <c r="L17" s="141">
        <f>100*F17/F20</f>
        <v>0</v>
      </c>
    </row>
    <row r="18" spans="1:12" ht="17.25" customHeight="1" x14ac:dyDescent="0.25">
      <c r="A18" s="146" t="s">
        <v>25</v>
      </c>
      <c r="B18" s="99"/>
      <c r="C18" s="137"/>
      <c r="D18" s="138"/>
      <c r="E18" s="137"/>
      <c r="F18" s="137">
        <f t="shared" si="3"/>
        <v>0</v>
      </c>
      <c r="G18" s="137"/>
      <c r="H18" s="137"/>
      <c r="I18" s="137"/>
      <c r="J18" s="137">
        <f t="shared" si="1"/>
        <v>0</v>
      </c>
      <c r="K18" s="140" t="e">
        <f t="shared" si="2"/>
        <v>#DIV/0!</v>
      </c>
      <c r="L18" s="141">
        <f>100*F18/F20</f>
        <v>0</v>
      </c>
    </row>
    <row r="19" spans="1:12" ht="17.25" customHeight="1" x14ac:dyDescent="0.25">
      <c r="A19" s="146" t="s">
        <v>26</v>
      </c>
      <c r="B19" s="99"/>
      <c r="C19" s="137"/>
      <c r="D19" s="138"/>
      <c r="E19" s="137"/>
      <c r="F19" s="137">
        <f t="shared" si="3"/>
        <v>0</v>
      </c>
      <c r="G19" s="137"/>
      <c r="H19" s="137"/>
      <c r="I19" s="137"/>
      <c r="J19" s="137">
        <f t="shared" si="1"/>
        <v>0</v>
      </c>
      <c r="K19" s="140" t="e">
        <f t="shared" si="2"/>
        <v>#DIV/0!</v>
      </c>
      <c r="L19" s="141">
        <f>100*F19/F20</f>
        <v>0</v>
      </c>
    </row>
    <row r="20" spans="1:12" ht="15.75" customHeight="1" x14ac:dyDescent="0.25">
      <c r="A20" s="147" t="s">
        <v>13</v>
      </c>
      <c r="B20" s="147">
        <f>SUM(B8:B19)</f>
        <v>1200000</v>
      </c>
      <c r="C20" s="147">
        <f>C8</f>
        <v>27165</v>
      </c>
      <c r="D20" s="148">
        <f>SUM(D8:D19)</f>
        <v>581945</v>
      </c>
      <c r="E20" s="147">
        <f>SUM(E8:E19)</f>
        <v>6565</v>
      </c>
      <c r="F20" s="147">
        <f>SUM(F8:F19)</f>
        <v>575380</v>
      </c>
      <c r="G20" s="147">
        <f>SUM(G8:G19)</f>
        <v>24506</v>
      </c>
      <c r="H20" s="147">
        <f>SUM(H8:H19)</f>
        <v>328850</v>
      </c>
      <c r="I20" s="147">
        <f t="shared" ref="I20" si="4">SUM(I8:I19)</f>
        <v>0</v>
      </c>
      <c r="J20" s="147">
        <f>J12</f>
        <v>249189</v>
      </c>
      <c r="K20" s="149">
        <f>(D20-E20)*100/B20</f>
        <v>47.948333333333331</v>
      </c>
      <c r="L20" s="141">
        <f>SUM(L8:L19)/5</f>
        <v>20</v>
      </c>
    </row>
    <row r="22" spans="1:12" x14ac:dyDescent="0.25">
      <c r="A22" s="92" t="s">
        <v>65</v>
      </c>
      <c r="D22" s="152">
        <f>F20/5</f>
        <v>115076</v>
      </c>
    </row>
    <row r="23" spans="1:12" x14ac:dyDescent="0.25">
      <c r="A23" s="108" t="s">
        <v>30</v>
      </c>
      <c r="D23" s="133">
        <f>B20/5</f>
        <v>240000</v>
      </c>
      <c r="F23" s="89"/>
      <c r="G23" s="89"/>
      <c r="H23" s="89"/>
      <c r="I23" s="89"/>
      <c r="J23" s="90"/>
      <c r="K23" s="89"/>
      <c r="L23" s="89"/>
    </row>
    <row r="24" spans="1:12" x14ac:dyDescent="0.25">
      <c r="A24" s="108" t="s">
        <v>28</v>
      </c>
      <c r="D24" s="133">
        <f>H20/5</f>
        <v>65770</v>
      </c>
      <c r="F24" s="89"/>
      <c r="G24" s="89"/>
      <c r="H24" s="89"/>
      <c r="I24" s="89"/>
      <c r="J24" s="90"/>
      <c r="K24" s="89"/>
      <c r="L24" s="89"/>
    </row>
    <row r="25" spans="1:12" ht="19.5" x14ac:dyDescent="0.25">
      <c r="A25" s="108" t="s">
        <v>29</v>
      </c>
      <c r="D25" s="151">
        <v>0.47749999999999998</v>
      </c>
      <c r="H25" s="97"/>
      <c r="J25" s="90"/>
    </row>
    <row r="26" spans="1:12" x14ac:dyDescent="0.25">
      <c r="A26" s="108" t="s">
        <v>32</v>
      </c>
      <c r="D26" s="151"/>
      <c r="J26" s="90"/>
    </row>
    <row r="27" spans="1:12" x14ac:dyDescent="0.25">
      <c r="J27" s="90"/>
    </row>
    <row r="28" spans="1:12" x14ac:dyDescent="0.25">
      <c r="J28" s="86" t="s">
        <v>49</v>
      </c>
    </row>
    <row r="29" spans="1:12" x14ac:dyDescent="0.25">
      <c r="J29" s="86" t="s">
        <v>50</v>
      </c>
    </row>
  </sheetData>
  <mergeCells count="4">
    <mergeCell ref="A1:L1"/>
    <mergeCell ref="A2:L2"/>
    <mergeCell ref="A3:L3"/>
    <mergeCell ref="A4:L4"/>
  </mergeCells>
  <pageMargins left="0.7" right="0.13" top="0.75" bottom="0.75" header="0.3" footer="0.3"/>
  <pageSetup paperSize="9" orientation="landscape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29"/>
  <sheetViews>
    <sheetView tabSelected="1" view="pageLayout" topLeftCell="B14" zoomScale="115" zoomScaleNormal="100" zoomScalePageLayoutView="115" workbookViewId="0">
      <selection activeCell="D27" sqref="D27"/>
    </sheetView>
  </sheetViews>
  <sheetFormatPr defaultRowHeight="14.25" x14ac:dyDescent="0.2"/>
  <cols>
    <col min="1" max="1" width="10.7109375" style="5" customWidth="1"/>
    <col min="2" max="2" width="12.42578125" style="5" bestFit="1" customWidth="1"/>
    <col min="3" max="3" width="13.140625" style="5" customWidth="1"/>
    <col min="4" max="4" width="12.42578125" style="5" customWidth="1"/>
    <col min="5" max="5" width="11" style="5" bestFit="1" customWidth="1"/>
    <col min="6" max="6" width="12.42578125" style="5" bestFit="1" customWidth="1"/>
    <col min="7" max="7" width="10.85546875" style="5" customWidth="1"/>
    <col min="8" max="8" width="12.5703125" style="5" customWidth="1"/>
    <col min="9" max="9" width="8.5703125" style="5" customWidth="1"/>
    <col min="10" max="10" width="12.28515625" style="5" customWidth="1"/>
    <col min="11" max="11" width="13.28515625" style="5" customWidth="1"/>
    <col min="12" max="12" width="11" style="5" customWidth="1"/>
    <col min="13" max="16384" width="9.140625" style="5"/>
  </cols>
  <sheetData>
    <row r="1" spans="1:12" ht="30" x14ac:dyDescent="0.2">
      <c r="A1" s="169" t="s">
        <v>14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</row>
    <row r="2" spans="1:12" ht="15" x14ac:dyDescent="0.2">
      <c r="A2" s="170" t="s">
        <v>51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</row>
    <row r="3" spans="1:12" ht="20.25" x14ac:dyDescent="0.2">
      <c r="A3" s="171" t="s">
        <v>68</v>
      </c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</row>
    <row r="4" spans="1:12" ht="20.25" x14ac:dyDescent="0.2">
      <c r="A4" s="172" t="s">
        <v>53</v>
      </c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</row>
    <row r="5" spans="1:12" s="15" customFormat="1" ht="18" customHeight="1" x14ac:dyDescent="0.2">
      <c r="A5" s="1"/>
      <c r="B5" s="1"/>
      <c r="C5" s="1"/>
      <c r="D5" s="5"/>
      <c r="E5" s="3"/>
      <c r="F5" s="3"/>
      <c r="G5" s="3"/>
      <c r="H5" s="3"/>
      <c r="I5" s="1"/>
      <c r="J5" s="96" t="s">
        <v>34</v>
      </c>
      <c r="K5" s="1"/>
      <c r="L5" s="1"/>
    </row>
    <row r="6" spans="1:12" s="15" customFormat="1" ht="18" customHeight="1" x14ac:dyDescent="0.25">
      <c r="A6" s="10" t="s">
        <v>0</v>
      </c>
      <c r="B6" s="11" t="s">
        <v>1</v>
      </c>
      <c r="C6" s="12" t="s">
        <v>2</v>
      </c>
      <c r="D6" s="11" t="s">
        <v>3</v>
      </c>
      <c r="E6" s="11" t="s">
        <v>4</v>
      </c>
      <c r="F6" s="11" t="s">
        <v>5</v>
      </c>
      <c r="G6" s="12" t="s">
        <v>6</v>
      </c>
      <c r="H6" s="11" t="s">
        <v>7</v>
      </c>
      <c r="I6" s="11" t="s">
        <v>8</v>
      </c>
      <c r="J6" s="12" t="s">
        <v>9</v>
      </c>
      <c r="K6" s="13" t="s">
        <v>1</v>
      </c>
      <c r="L6" s="14" t="s">
        <v>10</v>
      </c>
    </row>
    <row r="7" spans="1:12" s="15" customFormat="1" ht="18" customHeight="1" x14ac:dyDescent="0.25">
      <c r="A7" s="16"/>
      <c r="B7" s="17"/>
      <c r="C7" s="18"/>
      <c r="D7" s="17"/>
      <c r="E7" s="17"/>
      <c r="F7" s="17"/>
      <c r="G7" s="18"/>
      <c r="H7" s="17"/>
      <c r="I7" s="17"/>
      <c r="J7" s="18"/>
      <c r="K7" s="19" t="s">
        <v>11</v>
      </c>
      <c r="L7" s="20" t="s">
        <v>12</v>
      </c>
    </row>
    <row r="8" spans="1:12" s="15" customFormat="1" ht="18" customHeight="1" x14ac:dyDescent="0.25">
      <c r="A8" s="21" t="s">
        <v>15</v>
      </c>
      <c r="B8" s="11">
        <v>200000</v>
      </c>
      <c r="C8" s="22">
        <v>2762236</v>
      </c>
      <c r="D8" s="23">
        <v>197360</v>
      </c>
      <c r="E8" s="22">
        <v>122520</v>
      </c>
      <c r="F8" s="22">
        <f>D8-E8</f>
        <v>74840</v>
      </c>
      <c r="G8" s="22">
        <v>4476</v>
      </c>
      <c r="H8" s="22">
        <v>169480</v>
      </c>
      <c r="I8" s="24"/>
      <c r="J8" s="28">
        <f>C8+D8-E8-G8-H8-I8</f>
        <v>2663120</v>
      </c>
      <c r="K8" s="25">
        <f>F8*100/B8</f>
        <v>37.42</v>
      </c>
      <c r="L8" s="26">
        <f>F8*100/F20</f>
        <v>6.2657501904674193</v>
      </c>
    </row>
    <row r="9" spans="1:12" s="15" customFormat="1" ht="18" customHeight="1" x14ac:dyDescent="0.25">
      <c r="A9" s="27" t="s">
        <v>16</v>
      </c>
      <c r="B9" s="36">
        <v>250000</v>
      </c>
      <c r="C9" s="22">
        <v>2663120</v>
      </c>
      <c r="D9" s="23">
        <v>318230</v>
      </c>
      <c r="E9" s="22">
        <v>14650</v>
      </c>
      <c r="F9" s="22">
        <f>D9-E9</f>
        <v>303580</v>
      </c>
      <c r="G9" s="22">
        <v>10212</v>
      </c>
      <c r="H9" s="22">
        <v>105330</v>
      </c>
      <c r="I9" s="22"/>
      <c r="J9" s="28">
        <f t="shared" ref="J9:J19" si="0">C9+D9-E9-G9-H9-I9</f>
        <v>2851158</v>
      </c>
      <c r="K9" s="26">
        <f>F9*100/B9</f>
        <v>121.432</v>
      </c>
      <c r="L9" s="26">
        <f>100*F9/F20</f>
        <v>25.416307359995983</v>
      </c>
    </row>
    <row r="10" spans="1:12" s="15" customFormat="1" ht="18" customHeight="1" x14ac:dyDescent="0.25">
      <c r="A10" s="27" t="s">
        <v>17</v>
      </c>
      <c r="B10" s="36">
        <v>250000</v>
      </c>
      <c r="C10" s="22">
        <v>2851158</v>
      </c>
      <c r="D10" s="23">
        <v>192110</v>
      </c>
      <c r="E10" s="29"/>
      <c r="F10" s="22">
        <f t="shared" ref="F10:F19" si="1">D10-E10</f>
        <v>192110</v>
      </c>
      <c r="G10" s="22">
        <v>26814</v>
      </c>
      <c r="H10" s="22">
        <v>566050</v>
      </c>
      <c r="I10" s="22"/>
      <c r="J10" s="28">
        <f t="shared" si="0"/>
        <v>2450404</v>
      </c>
      <c r="K10" s="26">
        <f t="shared" ref="K10:K19" si="2">F10*100/B10</f>
        <v>76.843999999999994</v>
      </c>
      <c r="L10" s="26">
        <f>100*F10/F20</f>
        <v>16.08382240901518</v>
      </c>
    </row>
    <row r="11" spans="1:12" s="15" customFormat="1" ht="18" customHeight="1" x14ac:dyDescent="0.25">
      <c r="A11" s="27" t="s">
        <v>18</v>
      </c>
      <c r="B11" s="36">
        <v>300000</v>
      </c>
      <c r="C11" s="22">
        <v>2450404</v>
      </c>
      <c r="D11" s="23">
        <v>371230</v>
      </c>
      <c r="E11" s="22"/>
      <c r="F11" s="22">
        <f t="shared" si="1"/>
        <v>371230</v>
      </c>
      <c r="G11" s="22">
        <v>8846</v>
      </c>
      <c r="H11" s="22">
        <v>202990</v>
      </c>
      <c r="I11" s="22"/>
      <c r="J11" s="28">
        <f t="shared" si="0"/>
        <v>2609798</v>
      </c>
      <c r="K11" s="26">
        <f t="shared" si="2"/>
        <v>123.74333333333334</v>
      </c>
      <c r="L11" s="26">
        <f>100*F11/F20</f>
        <v>31.080096782565743</v>
      </c>
    </row>
    <row r="12" spans="1:12" s="15" customFormat="1" ht="18" customHeight="1" x14ac:dyDescent="0.25">
      <c r="A12" s="21" t="s">
        <v>27</v>
      </c>
      <c r="B12" s="37">
        <v>300000</v>
      </c>
      <c r="C12" s="22">
        <v>2609798</v>
      </c>
      <c r="D12" s="23">
        <v>252670</v>
      </c>
      <c r="E12" s="22"/>
      <c r="F12" s="22">
        <f t="shared" si="1"/>
        <v>252670</v>
      </c>
      <c r="G12" s="22">
        <v>8872</v>
      </c>
      <c r="H12" s="22">
        <v>189000</v>
      </c>
      <c r="I12" s="22"/>
      <c r="J12" s="28">
        <f t="shared" si="0"/>
        <v>2664596</v>
      </c>
      <c r="K12" s="26">
        <f>F12*100/B12</f>
        <v>84.223333333333329</v>
      </c>
      <c r="L12" s="26">
        <f>F12*100/F20</f>
        <v>21.154023257955679</v>
      </c>
    </row>
    <row r="13" spans="1:12" s="15" customFormat="1" ht="18" customHeight="1" x14ac:dyDescent="0.25">
      <c r="A13" s="27" t="s">
        <v>20</v>
      </c>
      <c r="B13" s="30"/>
      <c r="C13" s="22"/>
      <c r="D13" s="23"/>
      <c r="E13" s="22"/>
      <c r="F13" s="22">
        <f t="shared" si="1"/>
        <v>0</v>
      </c>
      <c r="G13" s="22"/>
      <c r="H13" s="22"/>
      <c r="I13" s="22"/>
      <c r="J13" s="28">
        <f t="shared" si="0"/>
        <v>0</v>
      </c>
      <c r="K13" s="26" t="e">
        <f t="shared" si="2"/>
        <v>#DIV/0!</v>
      </c>
      <c r="L13" s="26">
        <f>100*F13/F20</f>
        <v>0</v>
      </c>
    </row>
    <row r="14" spans="1:12" s="15" customFormat="1" ht="18" customHeight="1" x14ac:dyDescent="0.25">
      <c r="A14" s="27" t="s">
        <v>21</v>
      </c>
      <c r="B14" s="30"/>
      <c r="C14" s="22"/>
      <c r="D14" s="23"/>
      <c r="E14" s="22"/>
      <c r="F14" s="22">
        <f t="shared" si="1"/>
        <v>0</v>
      </c>
      <c r="G14" s="22"/>
      <c r="H14" s="22"/>
      <c r="I14" s="22"/>
      <c r="J14" s="28">
        <f t="shared" si="0"/>
        <v>0</v>
      </c>
      <c r="K14" s="26" t="e">
        <f t="shared" si="2"/>
        <v>#DIV/0!</v>
      </c>
      <c r="L14" s="26">
        <f>100*F14/F20</f>
        <v>0</v>
      </c>
    </row>
    <row r="15" spans="1:12" s="15" customFormat="1" ht="18" customHeight="1" x14ac:dyDescent="0.25">
      <c r="A15" s="21" t="s">
        <v>22</v>
      </c>
      <c r="B15" s="30"/>
      <c r="C15" s="22"/>
      <c r="D15" s="23"/>
      <c r="E15" s="22"/>
      <c r="F15" s="22">
        <f t="shared" si="1"/>
        <v>0</v>
      </c>
      <c r="G15" s="22"/>
      <c r="H15" s="22"/>
      <c r="I15" s="24"/>
      <c r="J15" s="28">
        <f t="shared" si="0"/>
        <v>0</v>
      </c>
      <c r="K15" s="26" t="e">
        <f t="shared" si="2"/>
        <v>#DIV/0!</v>
      </c>
      <c r="L15" s="26">
        <f>F15*100/F20</f>
        <v>0</v>
      </c>
    </row>
    <row r="16" spans="1:12" s="15" customFormat="1" ht="18" customHeight="1" x14ac:dyDescent="0.25">
      <c r="A16" s="31" t="s">
        <v>23</v>
      </c>
      <c r="B16" s="11"/>
      <c r="C16" s="22"/>
      <c r="D16" s="23"/>
      <c r="E16" s="22"/>
      <c r="F16" s="22">
        <f t="shared" si="1"/>
        <v>0</v>
      </c>
      <c r="G16" s="22"/>
      <c r="H16" s="22"/>
      <c r="I16" s="22"/>
      <c r="J16" s="28">
        <f t="shared" si="0"/>
        <v>0</v>
      </c>
      <c r="K16" s="26" t="e">
        <f t="shared" si="2"/>
        <v>#DIV/0!</v>
      </c>
      <c r="L16" s="26">
        <f>F16*100/F20</f>
        <v>0</v>
      </c>
    </row>
    <row r="17" spans="1:12" s="15" customFormat="1" ht="18" customHeight="1" x14ac:dyDescent="0.25">
      <c r="A17" s="32" t="s">
        <v>24</v>
      </c>
      <c r="B17" s="11"/>
      <c r="C17" s="22"/>
      <c r="D17" s="23"/>
      <c r="E17" s="22"/>
      <c r="F17" s="22">
        <f t="shared" si="1"/>
        <v>0</v>
      </c>
      <c r="G17" s="22"/>
      <c r="H17" s="22"/>
      <c r="I17" s="22"/>
      <c r="J17" s="28">
        <f t="shared" si="0"/>
        <v>0</v>
      </c>
      <c r="K17" s="26" t="e">
        <f t="shared" si="2"/>
        <v>#DIV/0!</v>
      </c>
      <c r="L17" s="26">
        <f>F17*100/F20</f>
        <v>0</v>
      </c>
    </row>
    <row r="18" spans="1:12" s="15" customFormat="1" ht="18" customHeight="1" x14ac:dyDescent="0.25">
      <c r="A18" s="32" t="s">
        <v>25</v>
      </c>
      <c r="B18" s="11"/>
      <c r="C18" s="22"/>
      <c r="D18" s="23"/>
      <c r="E18" s="22"/>
      <c r="F18" s="22">
        <f t="shared" si="1"/>
        <v>0</v>
      </c>
      <c r="G18" s="22"/>
      <c r="H18" s="22"/>
      <c r="I18" s="22"/>
      <c r="J18" s="28">
        <f t="shared" si="0"/>
        <v>0</v>
      </c>
      <c r="K18" s="26" t="e">
        <f t="shared" si="2"/>
        <v>#DIV/0!</v>
      </c>
      <c r="L18" s="26">
        <f>F18*100/F20</f>
        <v>0</v>
      </c>
    </row>
    <row r="19" spans="1:12" s="15" customFormat="1" ht="18" customHeight="1" x14ac:dyDescent="0.25">
      <c r="A19" s="32" t="s">
        <v>26</v>
      </c>
      <c r="B19" s="11"/>
      <c r="C19" s="22"/>
      <c r="D19" s="23"/>
      <c r="E19" s="22"/>
      <c r="F19" s="22">
        <f t="shared" si="1"/>
        <v>0</v>
      </c>
      <c r="G19" s="22"/>
      <c r="H19" s="22"/>
      <c r="I19" s="22"/>
      <c r="J19" s="28">
        <f t="shared" si="0"/>
        <v>0</v>
      </c>
      <c r="K19" s="26" t="e">
        <f t="shared" si="2"/>
        <v>#DIV/0!</v>
      </c>
      <c r="L19" s="26">
        <f>F19*100/F20</f>
        <v>0</v>
      </c>
    </row>
    <row r="20" spans="1:12" x14ac:dyDescent="0.2">
      <c r="A20" s="9" t="s">
        <v>13</v>
      </c>
      <c r="B20" s="9">
        <f t="shared" ref="B20:H20" si="3">SUM(B8:B19)</f>
        <v>1300000</v>
      </c>
      <c r="C20" s="9">
        <f t="shared" si="3"/>
        <v>13336716</v>
      </c>
      <c r="D20" s="33">
        <f t="shared" si="3"/>
        <v>1331600</v>
      </c>
      <c r="E20" s="9">
        <f t="shared" si="3"/>
        <v>137170</v>
      </c>
      <c r="F20" s="34">
        <f t="shared" si="3"/>
        <v>1194430</v>
      </c>
      <c r="G20" s="9">
        <f t="shared" si="3"/>
        <v>59220</v>
      </c>
      <c r="H20" s="9">
        <f t="shared" si="3"/>
        <v>1232850</v>
      </c>
      <c r="I20" s="9"/>
      <c r="J20" s="9"/>
      <c r="K20" s="35">
        <f>(K8+K9+K10+K11+K12)/5</f>
        <v>88.73253333333335</v>
      </c>
      <c r="L20" s="35"/>
    </row>
    <row r="21" spans="1:12" ht="17.25" customHeight="1" x14ac:dyDescent="0.2"/>
    <row r="22" spans="1:12" ht="17.25" customHeight="1" x14ac:dyDescent="0.2">
      <c r="A22" s="87" t="s">
        <v>31</v>
      </c>
      <c r="D22" s="7">
        <f>F20/5</f>
        <v>238886</v>
      </c>
    </row>
    <row r="23" spans="1:12" ht="17.25" customHeight="1" x14ac:dyDescent="0.2">
      <c r="A23" s="87" t="s">
        <v>30</v>
      </c>
      <c r="D23" s="7">
        <f>B20/5</f>
        <v>260000</v>
      </c>
    </row>
    <row r="24" spans="1:12" ht="17.25" customHeight="1" x14ac:dyDescent="0.2">
      <c r="A24" s="87" t="s">
        <v>28</v>
      </c>
      <c r="D24" s="7">
        <f>H20/5</f>
        <v>246570</v>
      </c>
    </row>
    <row r="25" spans="1:12" ht="17.25" customHeight="1" x14ac:dyDescent="0.2">
      <c r="A25" s="87" t="s">
        <v>29</v>
      </c>
      <c r="D25" s="6">
        <v>0.88729999999999998</v>
      </c>
      <c r="G25" s="7"/>
      <c r="J25" s="7"/>
    </row>
    <row r="26" spans="1:12" x14ac:dyDescent="0.2">
      <c r="A26" s="87" t="s">
        <v>32</v>
      </c>
      <c r="D26" s="110">
        <f>100-88.73</f>
        <v>11.269999999999996</v>
      </c>
    </row>
    <row r="28" spans="1:12" x14ac:dyDescent="0.2">
      <c r="J28" s="86" t="s">
        <v>49</v>
      </c>
    </row>
    <row r="29" spans="1:12" x14ac:dyDescent="0.2">
      <c r="J29" s="86" t="s">
        <v>50</v>
      </c>
    </row>
  </sheetData>
  <mergeCells count="4">
    <mergeCell ref="A1:L1"/>
    <mergeCell ref="A2:L2"/>
    <mergeCell ref="A3:L3"/>
    <mergeCell ref="A4:L4"/>
  </mergeCells>
  <pageMargins left="0.5" right="0" top="0.75" bottom="0.75" header="0.3" footer="0.3"/>
  <pageSetup paperSize="9" orientation="landscape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9"/>
  <sheetViews>
    <sheetView view="pageLayout" topLeftCell="A7" zoomScaleNormal="100" workbookViewId="0">
      <selection activeCell="K21" sqref="K21"/>
    </sheetView>
  </sheetViews>
  <sheetFormatPr defaultRowHeight="15" x14ac:dyDescent="0.25"/>
  <cols>
    <col min="1" max="1" width="10.85546875" bestFit="1" customWidth="1"/>
    <col min="2" max="2" width="12.85546875" style="162" bestFit="1" customWidth="1"/>
    <col min="3" max="3" width="13.85546875" bestFit="1" customWidth="1"/>
    <col min="4" max="4" width="12.5703125" customWidth="1"/>
    <col min="5" max="5" width="10.28515625" customWidth="1"/>
    <col min="6" max="6" width="11.140625" customWidth="1"/>
    <col min="7" max="7" width="11" bestFit="1" customWidth="1"/>
    <col min="8" max="8" width="11.42578125" customWidth="1"/>
    <col min="9" max="9" width="9.5703125" customWidth="1"/>
    <col min="10" max="10" width="11" customWidth="1"/>
    <col min="11" max="11" width="15" bestFit="1" customWidth="1"/>
    <col min="12" max="12" width="9.85546875" bestFit="1" customWidth="1"/>
  </cols>
  <sheetData>
    <row r="1" spans="1:12" ht="30" x14ac:dyDescent="0.25">
      <c r="A1" s="169" t="s">
        <v>14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</row>
    <row r="2" spans="1:12" x14ac:dyDescent="0.25">
      <c r="A2" s="170" t="s">
        <v>51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</row>
    <row r="3" spans="1:12" ht="20.25" x14ac:dyDescent="0.25">
      <c r="A3" s="171" t="s">
        <v>69</v>
      </c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</row>
    <row r="4" spans="1:12" ht="20.25" x14ac:dyDescent="0.25">
      <c r="A4" s="172" t="s">
        <v>53</v>
      </c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</row>
    <row r="5" spans="1:12" s="43" customFormat="1" ht="17.25" customHeight="1" x14ac:dyDescent="0.25">
      <c r="A5" s="1"/>
      <c r="B5" s="163"/>
      <c r="C5" s="1"/>
      <c r="D5"/>
      <c r="E5" s="3"/>
      <c r="F5" s="3"/>
      <c r="G5" s="3"/>
      <c r="H5" s="3"/>
      <c r="I5" s="96" t="s">
        <v>35</v>
      </c>
      <c r="J5" s="1"/>
      <c r="K5" s="1"/>
      <c r="L5" s="1"/>
    </row>
    <row r="6" spans="1:12" s="43" customFormat="1" ht="17.25" customHeight="1" x14ac:dyDescent="0.2">
      <c r="A6" s="38" t="s">
        <v>0</v>
      </c>
      <c r="B6" s="164" t="s">
        <v>1</v>
      </c>
      <c r="C6" s="40" t="s">
        <v>2</v>
      </c>
      <c r="D6" s="39" t="s">
        <v>3</v>
      </c>
      <c r="E6" s="39" t="s">
        <v>4</v>
      </c>
      <c r="F6" s="39" t="s">
        <v>5</v>
      </c>
      <c r="G6" s="40" t="s">
        <v>6</v>
      </c>
      <c r="H6" s="39" t="s">
        <v>7</v>
      </c>
      <c r="I6" s="39" t="s">
        <v>8</v>
      </c>
      <c r="J6" s="40" t="s">
        <v>9</v>
      </c>
      <c r="K6" s="41" t="s">
        <v>1</v>
      </c>
      <c r="L6" s="42" t="s">
        <v>10</v>
      </c>
    </row>
    <row r="7" spans="1:12" s="43" customFormat="1" ht="17.25" customHeight="1" x14ac:dyDescent="0.2">
      <c r="A7" s="44"/>
      <c r="B7" s="165"/>
      <c r="C7" s="46"/>
      <c r="D7" s="45"/>
      <c r="E7" s="45"/>
      <c r="F7" s="45"/>
      <c r="G7" s="46"/>
      <c r="H7" s="45"/>
      <c r="I7" s="45"/>
      <c r="J7" s="46"/>
      <c r="K7" s="47" t="s">
        <v>11</v>
      </c>
      <c r="L7" s="48" t="s">
        <v>12</v>
      </c>
    </row>
    <row r="8" spans="1:12" s="43" customFormat="1" ht="17.25" customHeight="1" x14ac:dyDescent="0.2">
      <c r="A8" s="49" t="s">
        <v>15</v>
      </c>
      <c r="B8" s="164">
        <v>150000</v>
      </c>
      <c r="C8" s="51">
        <v>457634</v>
      </c>
      <c r="D8" s="52">
        <v>31000</v>
      </c>
      <c r="E8" s="51">
        <v>0</v>
      </c>
      <c r="F8" s="51">
        <f>D8-E8</f>
        <v>31000</v>
      </c>
      <c r="G8" s="51">
        <v>9600</v>
      </c>
      <c r="H8" s="51">
        <v>85000</v>
      </c>
      <c r="I8" s="53">
        <v>0</v>
      </c>
      <c r="J8" s="51">
        <f>C8+D8-E8-G8-H8-I8</f>
        <v>394034</v>
      </c>
      <c r="K8" s="54">
        <f>F8*100/B8</f>
        <v>20.666666666666668</v>
      </c>
      <c r="L8" s="63">
        <f>100*F8/F20</f>
        <v>4.9043260902237797</v>
      </c>
    </row>
    <row r="9" spans="1:12" s="43" customFormat="1" ht="17.25" customHeight="1" x14ac:dyDescent="0.2">
      <c r="A9" s="56" t="s">
        <v>16</v>
      </c>
      <c r="B9" s="166">
        <v>250000</v>
      </c>
      <c r="C9" s="51">
        <v>394034</v>
      </c>
      <c r="D9" s="52">
        <v>231450</v>
      </c>
      <c r="E9" s="51">
        <v>0</v>
      </c>
      <c r="F9" s="51">
        <f>D9-E9</f>
        <v>231450</v>
      </c>
      <c r="G9" s="51">
        <v>10200</v>
      </c>
      <c r="H9" s="51">
        <v>34500</v>
      </c>
      <c r="I9" s="51">
        <v>0</v>
      </c>
      <c r="J9" s="51">
        <f t="shared" ref="J9:J19" si="0">C9+D9-E9-G9-H9-I9</f>
        <v>580784</v>
      </c>
      <c r="K9" s="54">
        <f t="shared" ref="K9:K19" si="1">F9*100/B9</f>
        <v>92.58</v>
      </c>
      <c r="L9" s="63">
        <f>100*F9/F20</f>
        <v>36.616331405880445</v>
      </c>
    </row>
    <row r="10" spans="1:12" s="43" customFormat="1" ht="17.25" customHeight="1" x14ac:dyDescent="0.2">
      <c r="A10" s="56" t="s">
        <v>17</v>
      </c>
      <c r="B10" s="166">
        <v>250000</v>
      </c>
      <c r="C10" s="51">
        <v>580784</v>
      </c>
      <c r="D10" s="52">
        <v>54350</v>
      </c>
      <c r="E10" s="57"/>
      <c r="F10" s="51">
        <f t="shared" ref="F10:F19" si="2">D10-E10</f>
        <v>54350</v>
      </c>
      <c r="G10" s="51">
        <v>0</v>
      </c>
      <c r="H10" s="51">
        <v>47000</v>
      </c>
      <c r="I10" s="51">
        <v>0</v>
      </c>
      <c r="J10" s="51">
        <f t="shared" si="0"/>
        <v>588134</v>
      </c>
      <c r="K10" s="54">
        <f t="shared" si="1"/>
        <v>21.74</v>
      </c>
      <c r="L10" s="63">
        <f>100*F10/F20</f>
        <v>8.5983910646342725</v>
      </c>
    </row>
    <row r="11" spans="1:12" s="43" customFormat="1" ht="17.25" customHeight="1" x14ac:dyDescent="0.2">
      <c r="A11" s="56" t="s">
        <v>18</v>
      </c>
      <c r="B11" s="166">
        <v>275000</v>
      </c>
      <c r="C11" s="51">
        <v>588134</v>
      </c>
      <c r="D11" s="52">
        <v>241070</v>
      </c>
      <c r="E11" s="51">
        <v>0</v>
      </c>
      <c r="F11" s="51">
        <f t="shared" si="2"/>
        <v>241070</v>
      </c>
      <c r="G11" s="51">
        <v>3155</v>
      </c>
      <c r="H11" s="51">
        <v>77000</v>
      </c>
      <c r="I11" s="51">
        <v>0</v>
      </c>
      <c r="J11" s="51">
        <f t="shared" si="0"/>
        <v>749049</v>
      </c>
      <c r="K11" s="54">
        <f t="shared" si="1"/>
        <v>87.661818181818177</v>
      </c>
      <c r="L11" s="63">
        <f>100*F11/F20</f>
        <v>38.13825453452408</v>
      </c>
    </row>
    <row r="12" spans="1:12" s="43" customFormat="1" ht="17.25" customHeight="1" x14ac:dyDescent="0.2">
      <c r="A12" s="49" t="s">
        <v>27</v>
      </c>
      <c r="B12" s="164">
        <v>250000</v>
      </c>
      <c r="C12" s="51">
        <v>749049</v>
      </c>
      <c r="D12" s="52">
        <v>93440</v>
      </c>
      <c r="E12" s="51">
        <v>19215</v>
      </c>
      <c r="F12" s="51">
        <f t="shared" si="2"/>
        <v>74225</v>
      </c>
      <c r="G12" s="51">
        <v>1645</v>
      </c>
      <c r="H12" s="51">
        <v>70000</v>
      </c>
      <c r="I12" s="51"/>
      <c r="J12" s="51">
        <f t="shared" si="0"/>
        <v>751629</v>
      </c>
      <c r="K12" s="54">
        <f t="shared" si="1"/>
        <v>29.69</v>
      </c>
      <c r="L12" s="63">
        <f>100*F12/F20</f>
        <v>11.742696904737421</v>
      </c>
    </row>
    <row r="13" spans="1:12" s="43" customFormat="1" ht="17.25" customHeight="1" x14ac:dyDescent="0.2">
      <c r="A13" s="56" t="s">
        <v>20</v>
      </c>
      <c r="B13" s="166"/>
      <c r="C13" s="51"/>
      <c r="D13" s="52"/>
      <c r="E13" s="51"/>
      <c r="F13" s="51">
        <f t="shared" si="2"/>
        <v>0</v>
      </c>
      <c r="G13" s="51"/>
      <c r="H13" s="51"/>
      <c r="I13" s="51"/>
      <c r="J13" s="51">
        <f t="shared" si="0"/>
        <v>0</v>
      </c>
      <c r="K13" s="54" t="e">
        <f t="shared" si="1"/>
        <v>#DIV/0!</v>
      </c>
      <c r="L13" s="63">
        <f>100*F13/F20</f>
        <v>0</v>
      </c>
    </row>
    <row r="14" spans="1:12" s="43" customFormat="1" ht="17.25" customHeight="1" x14ac:dyDescent="0.2">
      <c r="A14" s="56" t="s">
        <v>21</v>
      </c>
      <c r="B14" s="166"/>
      <c r="C14" s="51"/>
      <c r="D14" s="52"/>
      <c r="E14" s="51"/>
      <c r="F14" s="51">
        <f t="shared" si="2"/>
        <v>0</v>
      </c>
      <c r="G14" s="51"/>
      <c r="H14" s="51"/>
      <c r="I14" s="51"/>
      <c r="J14" s="51">
        <f t="shared" si="0"/>
        <v>0</v>
      </c>
      <c r="K14" s="54" t="e">
        <f t="shared" si="1"/>
        <v>#DIV/0!</v>
      </c>
      <c r="L14" s="63">
        <f>100*F14/F20</f>
        <v>0</v>
      </c>
    </row>
    <row r="15" spans="1:12" s="43" customFormat="1" ht="17.25" customHeight="1" x14ac:dyDescent="0.2">
      <c r="A15" s="49" t="s">
        <v>22</v>
      </c>
      <c r="B15" s="166"/>
      <c r="C15" s="51"/>
      <c r="D15" s="52"/>
      <c r="E15" s="51"/>
      <c r="F15" s="51">
        <f t="shared" si="2"/>
        <v>0</v>
      </c>
      <c r="G15" s="51"/>
      <c r="H15" s="51"/>
      <c r="I15" s="53"/>
      <c r="J15" s="51">
        <f t="shared" si="0"/>
        <v>0</v>
      </c>
      <c r="K15" s="54" t="e">
        <f t="shared" si="1"/>
        <v>#DIV/0!</v>
      </c>
      <c r="L15" s="63">
        <f>100*F15/F20</f>
        <v>0</v>
      </c>
    </row>
    <row r="16" spans="1:12" s="43" customFormat="1" ht="17.25" customHeight="1" x14ac:dyDescent="0.2">
      <c r="A16" s="59" t="s">
        <v>23</v>
      </c>
      <c r="B16" s="166"/>
      <c r="C16" s="51"/>
      <c r="D16" s="52"/>
      <c r="E16" s="51"/>
      <c r="F16" s="51">
        <f t="shared" si="2"/>
        <v>0</v>
      </c>
      <c r="G16" s="51"/>
      <c r="H16" s="51"/>
      <c r="I16" s="51"/>
      <c r="J16" s="51">
        <f t="shared" si="0"/>
        <v>0</v>
      </c>
      <c r="K16" s="54" t="e">
        <f t="shared" si="1"/>
        <v>#DIV/0!</v>
      </c>
      <c r="L16" s="63">
        <f>100*F16/F20</f>
        <v>0</v>
      </c>
    </row>
    <row r="17" spans="1:12" s="43" customFormat="1" ht="17.25" customHeight="1" x14ac:dyDescent="0.2">
      <c r="A17" s="50" t="s">
        <v>24</v>
      </c>
      <c r="B17" s="164"/>
      <c r="C17" s="51"/>
      <c r="D17" s="52"/>
      <c r="E17" s="51"/>
      <c r="F17" s="51">
        <f t="shared" si="2"/>
        <v>0</v>
      </c>
      <c r="G17" s="51"/>
      <c r="H17" s="51"/>
      <c r="I17" s="51"/>
      <c r="J17" s="51">
        <f>C17+D17-E17-G17-H17-I17</f>
        <v>0</v>
      </c>
      <c r="K17" s="54" t="e">
        <f t="shared" si="1"/>
        <v>#DIV/0!</v>
      </c>
      <c r="L17" s="63">
        <f>100*F17/F20</f>
        <v>0</v>
      </c>
    </row>
    <row r="18" spans="1:12" s="43" customFormat="1" ht="17.25" customHeight="1" x14ac:dyDescent="0.2">
      <c r="A18" s="50" t="s">
        <v>25</v>
      </c>
      <c r="B18" s="164"/>
      <c r="C18" s="51"/>
      <c r="D18" s="52"/>
      <c r="E18" s="51"/>
      <c r="F18" s="51">
        <f t="shared" si="2"/>
        <v>0</v>
      </c>
      <c r="G18" s="51"/>
      <c r="H18" s="51"/>
      <c r="I18" s="51"/>
      <c r="J18" s="51">
        <f t="shared" si="0"/>
        <v>0</v>
      </c>
      <c r="K18" s="54" t="e">
        <f t="shared" si="1"/>
        <v>#DIV/0!</v>
      </c>
      <c r="L18" s="63">
        <f>100*F18/F20</f>
        <v>0</v>
      </c>
    </row>
    <row r="19" spans="1:12" s="43" customFormat="1" ht="17.25" customHeight="1" x14ac:dyDescent="0.2">
      <c r="A19" s="50" t="s">
        <v>26</v>
      </c>
      <c r="B19" s="164"/>
      <c r="C19" s="51"/>
      <c r="D19" s="52"/>
      <c r="E19" s="51"/>
      <c r="F19" s="51">
        <f t="shared" si="2"/>
        <v>0</v>
      </c>
      <c r="G19" s="51"/>
      <c r="H19" s="51"/>
      <c r="I19" s="51"/>
      <c r="J19" s="51">
        <f t="shared" si="0"/>
        <v>0</v>
      </c>
      <c r="K19" s="54" t="e">
        <f t="shared" si="1"/>
        <v>#DIV/0!</v>
      </c>
      <c r="L19" s="63">
        <f>100*F19/F20</f>
        <v>0</v>
      </c>
    </row>
    <row r="20" spans="1:12" s="168" customFormat="1" ht="12.75" x14ac:dyDescent="0.25">
      <c r="A20" s="153" t="s">
        <v>13</v>
      </c>
      <c r="B20" s="153">
        <f t="shared" ref="B20" si="3">SUM(B8:B19)</f>
        <v>1175000</v>
      </c>
      <c r="C20" s="153">
        <f>C8</f>
        <v>457634</v>
      </c>
      <c r="D20" s="154">
        <f>SUM(D8:D19)</f>
        <v>651310</v>
      </c>
      <c r="E20" s="153">
        <f>SUM(E8:E19)</f>
        <v>19215</v>
      </c>
      <c r="F20" s="153">
        <f>SUM(F8:F19)</f>
        <v>632095</v>
      </c>
      <c r="G20" s="153">
        <f>SUM(G8:G19)</f>
        <v>24600</v>
      </c>
      <c r="H20" s="153">
        <f>SUM(H8:H19)</f>
        <v>313500</v>
      </c>
      <c r="I20" s="153"/>
      <c r="J20" s="153">
        <f>J12</f>
        <v>751629</v>
      </c>
      <c r="K20" s="155">
        <f>(D20-E20)*100/B20</f>
        <v>53.795319148936173</v>
      </c>
      <c r="L20" s="155"/>
    </row>
    <row r="21" spans="1:12" s="5" customFormat="1" ht="17.25" customHeight="1" x14ac:dyDescent="0.25">
      <c r="A21"/>
      <c r="B21" s="162"/>
      <c r="C21"/>
      <c r="D21"/>
      <c r="E21"/>
      <c r="F21"/>
      <c r="G21"/>
      <c r="H21"/>
      <c r="I21"/>
      <c r="J21"/>
      <c r="K21"/>
      <c r="L21"/>
    </row>
    <row r="22" spans="1:12" s="5" customFormat="1" ht="17.25" customHeight="1" x14ac:dyDescent="0.2">
      <c r="A22" s="4" t="s">
        <v>31</v>
      </c>
      <c r="B22" s="167"/>
      <c r="D22" s="7">
        <f>F20/5</f>
        <v>126419</v>
      </c>
    </row>
    <row r="23" spans="1:12" s="5" customFormat="1" ht="17.25" customHeight="1" x14ac:dyDescent="0.2">
      <c r="A23" s="4" t="s">
        <v>30</v>
      </c>
      <c r="B23" s="167"/>
      <c r="D23" s="7">
        <f>B20/5</f>
        <v>235000</v>
      </c>
    </row>
    <row r="24" spans="1:12" s="5" customFormat="1" ht="17.25" customHeight="1" x14ac:dyDescent="0.2">
      <c r="A24" s="4" t="s">
        <v>28</v>
      </c>
      <c r="B24" s="167"/>
      <c r="D24" s="7">
        <f>H20/5</f>
        <v>62700</v>
      </c>
    </row>
    <row r="25" spans="1:12" s="5" customFormat="1" ht="17.25" customHeight="1" x14ac:dyDescent="0.2">
      <c r="A25" s="4" t="s">
        <v>29</v>
      </c>
      <c r="B25" s="167"/>
      <c r="D25" s="6">
        <v>0.53800000000000003</v>
      </c>
      <c r="G25" s="7"/>
      <c r="J25" s="7"/>
    </row>
    <row r="26" spans="1:12" s="5" customFormat="1" ht="14.25" x14ac:dyDescent="0.2">
      <c r="A26" s="4" t="s">
        <v>32</v>
      </c>
      <c r="B26" s="167"/>
      <c r="D26" s="6"/>
    </row>
    <row r="27" spans="1:12" s="5" customFormat="1" ht="14.25" x14ac:dyDescent="0.2">
      <c r="B27" s="167"/>
    </row>
    <row r="28" spans="1:12" s="5" customFormat="1" ht="14.25" x14ac:dyDescent="0.2">
      <c r="B28" s="167"/>
      <c r="J28" s="86" t="s">
        <v>49</v>
      </c>
    </row>
    <row r="29" spans="1:12" x14ac:dyDescent="0.25">
      <c r="A29" s="5"/>
      <c r="B29" s="167"/>
      <c r="C29" s="5"/>
      <c r="D29" s="5"/>
      <c r="E29" s="5"/>
      <c r="F29" s="5"/>
      <c r="G29" s="5"/>
      <c r="H29" s="5"/>
      <c r="I29" s="5"/>
      <c r="J29" s="86" t="s">
        <v>50</v>
      </c>
      <c r="K29" s="5"/>
      <c r="L29" s="5"/>
    </row>
  </sheetData>
  <mergeCells count="4">
    <mergeCell ref="A1:L1"/>
    <mergeCell ref="A2:L2"/>
    <mergeCell ref="A3:L3"/>
    <mergeCell ref="A4:L4"/>
  </mergeCells>
  <pageMargins left="0.25" right="0" top="0.75" bottom="0.75" header="0.3" footer="0.3"/>
  <pageSetup paperSize="9" orientation="landscape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9"/>
  <sheetViews>
    <sheetView view="pageLayout" topLeftCell="A7" zoomScaleNormal="145" workbookViewId="0">
      <selection activeCell="E17" sqref="E17"/>
    </sheetView>
  </sheetViews>
  <sheetFormatPr defaultRowHeight="15" x14ac:dyDescent="0.25"/>
  <cols>
    <col min="1" max="1" width="9.85546875" customWidth="1"/>
    <col min="2" max="2" width="12.5703125" bestFit="1" customWidth="1"/>
    <col min="3" max="3" width="13.85546875" bestFit="1" customWidth="1"/>
    <col min="4" max="4" width="12.5703125" bestFit="1" customWidth="1"/>
    <col min="5" max="5" width="10.140625" bestFit="1" customWidth="1"/>
    <col min="6" max="6" width="12.5703125" bestFit="1" customWidth="1"/>
    <col min="7" max="7" width="12.42578125" bestFit="1" customWidth="1"/>
    <col min="8" max="8" width="12.5703125" bestFit="1" customWidth="1"/>
    <col min="9" max="9" width="8.85546875" customWidth="1"/>
    <col min="10" max="10" width="12.5703125" bestFit="1" customWidth="1"/>
    <col min="11" max="11" width="13.85546875" bestFit="1" customWidth="1"/>
    <col min="12" max="12" width="10" customWidth="1"/>
  </cols>
  <sheetData>
    <row r="1" spans="1:12" ht="30" x14ac:dyDescent="0.25">
      <c r="A1" s="169" t="s">
        <v>14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</row>
    <row r="2" spans="1:12" x14ac:dyDescent="0.25">
      <c r="A2" s="170" t="s">
        <v>51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</row>
    <row r="3" spans="1:12" ht="20.25" x14ac:dyDescent="0.25">
      <c r="A3" s="171" t="s">
        <v>67</v>
      </c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</row>
    <row r="4" spans="1:12" ht="20.25" x14ac:dyDescent="0.25">
      <c r="A4" s="172" t="s">
        <v>53</v>
      </c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</row>
    <row r="5" spans="1:12" s="43" customFormat="1" ht="16.5" customHeight="1" x14ac:dyDescent="0.25">
      <c r="A5" s="1"/>
      <c r="B5" s="1"/>
      <c r="C5" s="1"/>
      <c r="D5" s="1"/>
      <c r="E5"/>
      <c r="F5" s="1"/>
      <c r="G5" s="1"/>
      <c r="H5" s="1"/>
      <c r="I5" s="1"/>
      <c r="J5" s="95" t="s">
        <v>33</v>
      </c>
      <c r="K5" s="1"/>
      <c r="L5" s="1"/>
    </row>
    <row r="6" spans="1:12" s="43" customFormat="1" ht="16.5" customHeight="1" x14ac:dyDescent="0.2">
      <c r="A6" s="38" t="s">
        <v>0</v>
      </c>
      <c r="B6" s="39" t="s">
        <v>1</v>
      </c>
      <c r="C6" s="40" t="s">
        <v>2</v>
      </c>
      <c r="D6" s="39" t="s">
        <v>3</v>
      </c>
      <c r="E6" s="39" t="s">
        <v>4</v>
      </c>
      <c r="F6" s="39" t="s">
        <v>5</v>
      </c>
      <c r="G6" s="40" t="s">
        <v>6</v>
      </c>
      <c r="H6" s="39" t="s">
        <v>7</v>
      </c>
      <c r="I6" s="39" t="s">
        <v>8</v>
      </c>
      <c r="J6" s="40" t="s">
        <v>9</v>
      </c>
      <c r="K6" s="41" t="s">
        <v>1</v>
      </c>
      <c r="L6" s="42" t="s">
        <v>10</v>
      </c>
    </row>
    <row r="7" spans="1:12" s="43" customFormat="1" ht="16.5" customHeight="1" x14ac:dyDescent="0.2">
      <c r="A7" s="44"/>
      <c r="B7" s="45"/>
      <c r="C7" s="46"/>
      <c r="D7" s="45"/>
      <c r="E7" s="45"/>
      <c r="F7" s="45"/>
      <c r="G7" s="46"/>
      <c r="H7" s="45"/>
      <c r="I7" s="45"/>
      <c r="J7" s="46"/>
      <c r="K7" s="2" t="s">
        <v>11</v>
      </c>
      <c r="L7" s="48" t="s">
        <v>12</v>
      </c>
    </row>
    <row r="8" spans="1:12" s="43" customFormat="1" ht="16.5" customHeight="1" x14ac:dyDescent="0.2">
      <c r="A8" s="49" t="s">
        <v>15</v>
      </c>
      <c r="B8" s="50">
        <v>250000</v>
      </c>
      <c r="C8" s="51">
        <v>1131672</v>
      </c>
      <c r="D8" s="52">
        <v>321120</v>
      </c>
      <c r="E8" s="51">
        <v>0</v>
      </c>
      <c r="F8" s="51">
        <f>D8-E8</f>
        <v>321120</v>
      </c>
      <c r="G8" s="51">
        <v>22478</v>
      </c>
      <c r="H8" s="51">
        <v>150000</v>
      </c>
      <c r="I8" s="53">
        <v>0</v>
      </c>
      <c r="J8" s="51">
        <f>C8+D8-E8-G8-H8-I8</f>
        <v>1280314</v>
      </c>
      <c r="K8" s="54">
        <f>F8*100/B8</f>
        <v>128.44800000000001</v>
      </c>
      <c r="L8" s="63">
        <f>F8*100/F20</f>
        <v>28.217430273633152</v>
      </c>
    </row>
    <row r="9" spans="1:12" s="43" customFormat="1" ht="16.5" customHeight="1" x14ac:dyDescent="0.2">
      <c r="A9" s="56" t="s">
        <v>16</v>
      </c>
      <c r="B9" s="51">
        <v>350000</v>
      </c>
      <c r="C9" s="51">
        <v>1280314</v>
      </c>
      <c r="D9" s="52">
        <v>245400</v>
      </c>
      <c r="E9" s="57">
        <v>0</v>
      </c>
      <c r="F9" s="51">
        <f t="shared" ref="F9:F13" si="0">D9-E9</f>
        <v>245400</v>
      </c>
      <c r="G9" s="51">
        <v>14154</v>
      </c>
      <c r="H9" s="51">
        <v>140000</v>
      </c>
      <c r="I9" s="51">
        <v>0</v>
      </c>
      <c r="J9" s="58">
        <f>C9+D9-E9-G9-H9</f>
        <v>1371560</v>
      </c>
      <c r="K9" s="54">
        <f t="shared" ref="K9:K19" si="1">F9*100/B9</f>
        <v>70.114285714285714</v>
      </c>
      <c r="L9" s="63">
        <f>F9*100/F20</f>
        <v>21.563768650814573</v>
      </c>
    </row>
    <row r="10" spans="1:12" s="43" customFormat="1" ht="16.5" customHeight="1" x14ac:dyDescent="0.2">
      <c r="A10" s="56" t="s">
        <v>17</v>
      </c>
      <c r="B10" s="51">
        <v>300000</v>
      </c>
      <c r="C10" s="51">
        <v>1371560</v>
      </c>
      <c r="D10" s="52">
        <v>308100</v>
      </c>
      <c r="E10" s="57"/>
      <c r="F10" s="51">
        <f t="shared" si="0"/>
        <v>308100</v>
      </c>
      <c r="G10" s="51">
        <v>12127</v>
      </c>
      <c r="H10" s="51">
        <v>185000</v>
      </c>
      <c r="I10" s="51"/>
      <c r="J10" s="58">
        <f>C10+D10-E10-G10-H10</f>
        <v>1482533</v>
      </c>
      <c r="K10" s="54">
        <f t="shared" si="1"/>
        <v>102.7</v>
      </c>
      <c r="L10" s="63">
        <f>F10*100/F20</f>
        <v>27.073337902673064</v>
      </c>
    </row>
    <row r="11" spans="1:12" s="43" customFormat="1" ht="16.5" customHeight="1" x14ac:dyDescent="0.2">
      <c r="A11" s="56" t="s">
        <v>18</v>
      </c>
      <c r="B11" s="51">
        <v>400000</v>
      </c>
      <c r="C11" s="51">
        <v>1482533</v>
      </c>
      <c r="D11" s="52">
        <v>263400</v>
      </c>
      <c r="E11" s="51">
        <v>0</v>
      </c>
      <c r="F11" s="51">
        <f t="shared" si="0"/>
        <v>263400</v>
      </c>
      <c r="G11" s="51">
        <v>135289</v>
      </c>
      <c r="H11" s="51">
        <v>141400</v>
      </c>
      <c r="I11" s="51">
        <v>0</v>
      </c>
      <c r="J11" s="51">
        <f t="shared" ref="J11" si="2">C11+D11-E11-G11-H11</f>
        <v>1469244</v>
      </c>
      <c r="K11" s="54">
        <f t="shared" si="1"/>
        <v>65.849999999999994</v>
      </c>
      <c r="L11" s="63">
        <f>F11*100/F20</f>
        <v>23.145463172879211</v>
      </c>
    </row>
    <row r="12" spans="1:12" s="43" customFormat="1" ht="16.5" customHeight="1" x14ac:dyDescent="0.2">
      <c r="A12" s="49" t="s">
        <v>27</v>
      </c>
      <c r="B12" s="50"/>
      <c r="C12" s="51"/>
      <c r="D12" s="52"/>
      <c r="E12" s="51"/>
      <c r="F12" s="51">
        <f t="shared" si="0"/>
        <v>0</v>
      </c>
      <c r="G12" s="51"/>
      <c r="H12" s="51"/>
      <c r="I12" s="51"/>
      <c r="J12" s="58">
        <f>C12+D12-E12-G12-H12</f>
        <v>0</v>
      </c>
      <c r="K12" s="54" t="e">
        <f t="shared" si="1"/>
        <v>#DIV/0!</v>
      </c>
      <c r="L12" s="63">
        <f>F12*100/F20</f>
        <v>0</v>
      </c>
    </row>
    <row r="13" spans="1:12" s="43" customFormat="1" ht="16.5" customHeight="1" x14ac:dyDescent="0.2">
      <c r="A13" s="56" t="s">
        <v>20</v>
      </c>
      <c r="B13" s="51"/>
      <c r="C13" s="51"/>
      <c r="D13" s="52"/>
      <c r="E13" s="51"/>
      <c r="F13" s="51">
        <f t="shared" si="0"/>
        <v>0</v>
      </c>
      <c r="G13" s="51"/>
      <c r="H13" s="51"/>
      <c r="I13" s="51"/>
      <c r="J13" s="51">
        <f t="shared" ref="J13" si="3">C13+D13-E13-G13-H13</f>
        <v>0</v>
      </c>
      <c r="K13" s="54" t="e">
        <f t="shared" si="1"/>
        <v>#DIV/0!</v>
      </c>
      <c r="L13" s="63">
        <f>F13*100/F20</f>
        <v>0</v>
      </c>
    </row>
    <row r="14" spans="1:12" s="43" customFormat="1" ht="16.5" customHeight="1" x14ac:dyDescent="0.2">
      <c r="A14" s="56" t="s">
        <v>21</v>
      </c>
      <c r="B14" s="51"/>
      <c r="C14" s="51"/>
      <c r="D14" s="52"/>
      <c r="E14" s="51"/>
      <c r="F14" s="51">
        <f>D14-E14</f>
        <v>0</v>
      </c>
      <c r="G14" s="51"/>
      <c r="H14" s="51"/>
      <c r="I14" s="51"/>
      <c r="J14" s="51">
        <f>C14+D14-E14-G14-H14</f>
        <v>0</v>
      </c>
      <c r="K14" s="54" t="e">
        <f t="shared" si="1"/>
        <v>#DIV/0!</v>
      </c>
      <c r="L14" s="63">
        <f>F14*100/F20</f>
        <v>0</v>
      </c>
    </row>
    <row r="15" spans="1:12" s="43" customFormat="1" ht="16.5" customHeight="1" x14ac:dyDescent="0.2">
      <c r="A15" s="49" t="s">
        <v>22</v>
      </c>
      <c r="B15" s="50"/>
      <c r="C15" s="51"/>
      <c r="D15" s="52"/>
      <c r="E15" s="51"/>
      <c r="F15" s="51">
        <f t="shared" ref="F15:F19" si="4">D15-E15</f>
        <v>0</v>
      </c>
      <c r="G15" s="51"/>
      <c r="H15" s="51"/>
      <c r="I15" s="53"/>
      <c r="J15" s="51">
        <f t="shared" ref="J15:J19" si="5">C15+D15-E15-G15-H15</f>
        <v>0</v>
      </c>
      <c r="K15" s="54" t="e">
        <f t="shared" si="1"/>
        <v>#DIV/0!</v>
      </c>
      <c r="L15" s="63">
        <f>F15*100/F20</f>
        <v>0</v>
      </c>
    </row>
    <row r="16" spans="1:12" s="43" customFormat="1" ht="16.5" customHeight="1" x14ac:dyDescent="0.2">
      <c r="A16" s="59" t="s">
        <v>23</v>
      </c>
      <c r="B16" s="50"/>
      <c r="C16" s="51"/>
      <c r="D16" s="52"/>
      <c r="E16" s="51"/>
      <c r="F16" s="51">
        <f t="shared" si="4"/>
        <v>0</v>
      </c>
      <c r="G16" s="51"/>
      <c r="H16" s="51"/>
      <c r="I16" s="51"/>
      <c r="J16" s="51">
        <f t="shared" si="5"/>
        <v>0</v>
      </c>
      <c r="K16" s="54" t="e">
        <f t="shared" si="1"/>
        <v>#DIV/0!</v>
      </c>
      <c r="L16" s="63">
        <f>F16*100/F20</f>
        <v>0</v>
      </c>
    </row>
    <row r="17" spans="1:12" s="43" customFormat="1" ht="16.5" customHeight="1" x14ac:dyDescent="0.2">
      <c r="A17" s="50" t="s">
        <v>24</v>
      </c>
      <c r="B17" s="50"/>
      <c r="C17" s="51"/>
      <c r="D17" s="52"/>
      <c r="E17" s="51"/>
      <c r="F17" s="51">
        <f t="shared" si="4"/>
        <v>0</v>
      </c>
      <c r="G17" s="51"/>
      <c r="H17" s="51"/>
      <c r="I17" s="51"/>
      <c r="J17" s="51">
        <f t="shared" si="5"/>
        <v>0</v>
      </c>
      <c r="K17" s="54" t="e">
        <f t="shared" si="1"/>
        <v>#DIV/0!</v>
      </c>
      <c r="L17" s="63">
        <f>F17*100/F20</f>
        <v>0</v>
      </c>
    </row>
    <row r="18" spans="1:12" s="43" customFormat="1" ht="16.5" customHeight="1" x14ac:dyDescent="0.2">
      <c r="A18" s="50" t="s">
        <v>25</v>
      </c>
      <c r="B18" s="50"/>
      <c r="C18" s="51"/>
      <c r="D18" s="52"/>
      <c r="E18" s="51"/>
      <c r="F18" s="51">
        <f t="shared" si="4"/>
        <v>0</v>
      </c>
      <c r="G18" s="51"/>
      <c r="H18" s="51"/>
      <c r="I18" s="51"/>
      <c r="J18" s="51">
        <f t="shared" si="5"/>
        <v>0</v>
      </c>
      <c r="K18" s="54" t="e">
        <f>F18*100/B18</f>
        <v>#DIV/0!</v>
      </c>
      <c r="L18" s="63">
        <f>F18*100/F20</f>
        <v>0</v>
      </c>
    </row>
    <row r="19" spans="1:12" s="43" customFormat="1" ht="16.5" customHeight="1" x14ac:dyDescent="0.2">
      <c r="A19" s="50" t="s">
        <v>26</v>
      </c>
      <c r="B19" s="50"/>
      <c r="C19" s="51"/>
      <c r="D19" s="52"/>
      <c r="E19" s="51"/>
      <c r="F19" s="51">
        <f t="shared" si="4"/>
        <v>0</v>
      </c>
      <c r="G19" s="51"/>
      <c r="H19" s="51"/>
      <c r="I19" s="51"/>
      <c r="J19" s="51">
        <f t="shared" si="5"/>
        <v>0</v>
      </c>
      <c r="K19" s="54" t="e">
        <f t="shared" si="1"/>
        <v>#DIV/0!</v>
      </c>
      <c r="L19" s="63">
        <f>F19*100/F20</f>
        <v>0</v>
      </c>
    </row>
    <row r="20" spans="1:12" ht="16.5" customHeight="1" x14ac:dyDescent="0.25">
      <c r="A20" s="8" t="s">
        <v>13</v>
      </c>
      <c r="B20" s="8">
        <f>SUM(B8:B19)</f>
        <v>1300000</v>
      </c>
      <c r="C20" s="8"/>
      <c r="D20" s="60">
        <f t="shared" ref="D20:I20" si="6">SUM(D8:D19)</f>
        <v>1138020</v>
      </c>
      <c r="E20" s="8">
        <f t="shared" si="6"/>
        <v>0</v>
      </c>
      <c r="F20" s="8">
        <f t="shared" si="6"/>
        <v>1138020</v>
      </c>
      <c r="G20" s="8">
        <f t="shared" si="6"/>
        <v>184048</v>
      </c>
      <c r="H20" s="8">
        <f t="shared" si="6"/>
        <v>616400</v>
      </c>
      <c r="I20" s="8">
        <f t="shared" si="6"/>
        <v>0</v>
      </c>
      <c r="J20" s="8"/>
      <c r="K20" s="62">
        <f>F20*100/B20</f>
        <v>87.54</v>
      </c>
      <c r="L20" s="61"/>
    </row>
    <row r="21" spans="1:12" s="5" customFormat="1" ht="17.25" customHeight="1" x14ac:dyDescent="0.25">
      <c r="A21"/>
      <c r="B21"/>
      <c r="C21"/>
      <c r="D21"/>
      <c r="E21"/>
      <c r="F21"/>
      <c r="G21"/>
      <c r="H21"/>
      <c r="I21"/>
      <c r="J21"/>
      <c r="K21"/>
      <c r="L21"/>
    </row>
    <row r="22" spans="1:12" s="5" customFormat="1" ht="17.25" customHeight="1" x14ac:dyDescent="0.2">
      <c r="A22" s="87" t="s">
        <v>31</v>
      </c>
      <c r="D22" s="7">
        <f>F20/12</f>
        <v>94835</v>
      </c>
    </row>
    <row r="23" spans="1:12" s="5" customFormat="1" ht="17.25" customHeight="1" x14ac:dyDescent="0.2">
      <c r="A23" s="87" t="s">
        <v>30</v>
      </c>
      <c r="D23" s="7">
        <f>B20/12</f>
        <v>108333.33333333333</v>
      </c>
    </row>
    <row r="24" spans="1:12" s="5" customFormat="1" ht="17.25" customHeight="1" x14ac:dyDescent="0.2">
      <c r="A24" s="87" t="s">
        <v>28</v>
      </c>
      <c r="D24" s="7">
        <f>H20/12</f>
        <v>51366.666666666664</v>
      </c>
    </row>
    <row r="25" spans="1:12" s="5" customFormat="1" ht="17.25" customHeight="1" x14ac:dyDescent="0.2">
      <c r="A25" s="87" t="s">
        <v>29</v>
      </c>
      <c r="D25" s="6"/>
      <c r="G25" s="7"/>
      <c r="J25" s="7"/>
    </row>
    <row r="26" spans="1:12" s="5" customFormat="1" ht="14.25" x14ac:dyDescent="0.2">
      <c r="A26" s="87" t="s">
        <v>32</v>
      </c>
      <c r="D26" s="6"/>
    </row>
    <row r="27" spans="1:12" s="5" customFormat="1" ht="14.25" x14ac:dyDescent="0.2"/>
    <row r="28" spans="1:12" s="5" customFormat="1" ht="14.25" x14ac:dyDescent="0.2">
      <c r="J28" s="86" t="s">
        <v>49</v>
      </c>
    </row>
    <row r="29" spans="1:12" x14ac:dyDescent="0.25">
      <c r="A29" s="5"/>
      <c r="B29" s="5"/>
      <c r="C29" s="5"/>
      <c r="D29" s="5"/>
      <c r="E29" s="5"/>
      <c r="F29" s="5"/>
      <c r="G29" s="5"/>
      <c r="H29" s="5"/>
      <c r="I29" s="5"/>
      <c r="J29" s="86" t="s">
        <v>50</v>
      </c>
      <c r="K29" s="5"/>
      <c r="L29" s="5"/>
    </row>
  </sheetData>
  <mergeCells count="4">
    <mergeCell ref="A1:L1"/>
    <mergeCell ref="A2:L2"/>
    <mergeCell ref="A3:L3"/>
    <mergeCell ref="A4:L4"/>
  </mergeCells>
  <pageMargins left="0.5" right="0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ওয়ার্কশিটগুলো</vt:lpstr>
      </vt:variant>
      <vt:variant>
        <vt:i4>14</vt:i4>
      </vt:variant>
    </vt:vector>
  </HeadingPairs>
  <TitlesOfParts>
    <vt:vector size="14" baseType="lpstr">
      <vt:lpstr>Zonal Sales Summary </vt:lpstr>
      <vt:lpstr>Magpie-1</vt:lpstr>
      <vt:lpstr>Magpie-2</vt:lpstr>
      <vt:lpstr>Magpie-3</vt:lpstr>
      <vt:lpstr>Magpie-4</vt:lpstr>
      <vt:lpstr>Kingfisher-1</vt:lpstr>
      <vt:lpstr>Kingfisher- 2</vt:lpstr>
      <vt:lpstr>Kingfisher-3</vt:lpstr>
      <vt:lpstr>Kingfisher-4</vt:lpstr>
      <vt:lpstr>Bogra 1</vt:lpstr>
      <vt:lpstr>Bogra 2</vt:lpstr>
      <vt:lpstr>Bakra</vt:lpstr>
      <vt:lpstr>Fulpur</vt:lpstr>
      <vt:lpstr>Feni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2026-06-14T08:33:07Z</dcterms:modified>
</cp:coreProperties>
</file>