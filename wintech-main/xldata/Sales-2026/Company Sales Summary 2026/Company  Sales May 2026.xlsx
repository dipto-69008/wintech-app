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2CBE8D0B-0578-4183-AD1B-01C3353E3FF9}" xr6:coauthVersionLast="47" xr6:coauthVersionMax="47" xr10:uidLastSave="{00000000-0000-0000-0000-000000000000}"/>
  <bookViews>
    <workbookView xWindow="-120" yWindow="-120" windowWidth="20730" windowHeight="11040" tabRatio="557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20" i="1" l="1"/>
  <c r="H20" i="1"/>
  <c r="K11" i="1"/>
  <c r="K12" i="1"/>
  <c r="K13" i="1"/>
  <c r="K14" i="1"/>
  <c r="K16" i="1"/>
  <c r="K17" i="1"/>
  <c r="K19" i="1"/>
  <c r="B20" i="1"/>
  <c r="C20" i="1"/>
  <c r="I20" i="1" l="1"/>
  <c r="G20" i="1"/>
  <c r="D20" i="1"/>
  <c r="F14" i="1"/>
  <c r="J17" i="1"/>
  <c r="F17" i="1"/>
  <c r="J10" i="1"/>
  <c r="J7" i="1"/>
  <c r="J8" i="1"/>
  <c r="J9" i="1"/>
  <c r="J11" i="1"/>
  <c r="J12" i="1"/>
  <c r="J13" i="1"/>
  <c r="J14" i="1"/>
  <c r="J15" i="1"/>
  <c r="J16" i="1"/>
  <c r="J18" i="1"/>
  <c r="J19" i="1"/>
  <c r="F16" i="1"/>
  <c r="F11" i="1"/>
  <c r="F8" i="1"/>
  <c r="K8" i="1" s="1"/>
  <c r="F9" i="1"/>
  <c r="K9" i="1" s="1"/>
  <c r="F12" i="1"/>
  <c r="F13" i="1"/>
  <c r="F15" i="1"/>
  <c r="K15" i="1" s="1"/>
  <c r="F18" i="1"/>
  <c r="K18" i="1" s="1"/>
  <c r="F19" i="1"/>
  <c r="F10" i="1"/>
  <c r="K10" i="1" s="1"/>
  <c r="F7" i="1"/>
  <c r="K7" i="1" s="1"/>
  <c r="F20" i="1" l="1"/>
  <c r="K20" i="1" s="1"/>
  <c r="J20" i="1"/>
  <c r="L18" i="1" l="1"/>
  <c r="L19" i="1"/>
  <c r="L17" i="1"/>
  <c r="L16" i="1"/>
  <c r="L15" i="1"/>
  <c r="L8" i="1"/>
  <c r="L7" i="1"/>
  <c r="L10" i="1"/>
  <c r="L9" i="1"/>
  <c r="L14" i="1"/>
  <c r="L13" i="1"/>
  <c r="L12" i="1"/>
  <c r="L11" i="1"/>
  <c r="L20" i="1" l="1"/>
</calcChain>
</file>

<file path=xl/sharedStrings.xml><?xml version="1.0" encoding="utf-8"?>
<sst xmlns="http://schemas.openxmlformats.org/spreadsheetml/2006/main" count="34" uniqueCount="33">
  <si>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</si>
  <si>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</si>
  <si>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</si>
  <si>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</si>
  <si>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</si>
  <si>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</si>
  <si>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</si>
  <si>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</si>
  <si>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</si>
  <si>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</si>
  <si>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</si>
  <si>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</si>
  <si>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</si>
  <si>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</si>
  <si>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</si>
  <si>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</si>
  <si>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</si>
  <si>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</si>
  <si>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WINTECH AGRO BANGLADESH</t>
  </si>
  <si>
    <t>Feni</t>
  </si>
  <si>
    <t>Comilla-3</t>
  </si>
  <si>
    <t>Mymen-1</t>
  </si>
  <si>
    <t>Manager Sales</t>
  </si>
  <si>
    <t>Fulbaria</t>
  </si>
  <si>
    <t>Muktagasa</t>
  </si>
  <si>
    <t>Comilla-4H</t>
  </si>
  <si>
    <t xml:space="preserve">Tarakanda </t>
  </si>
  <si>
    <t>Bogura 2</t>
  </si>
  <si>
    <t>Bogura</t>
  </si>
  <si>
    <t>Jessore 2</t>
  </si>
  <si>
    <t xml:space="preserve">Phulpur </t>
  </si>
  <si>
    <t>Month of May - 2026</t>
  </si>
  <si>
    <t>Total Sales Summary of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</si>
</sst>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sz val="2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43" fontId="3" fillId="0" borderId="5" xfId="0" applyNumberFormat="1" applyFont="1" applyBorder="1" applyAlignment="1">
      <alignment horizontal="center"/>
    </xf>
    <xf numFmtId="43" fontId="3" fillId="0" borderId="0" xfId="1" applyFont="1"/>
    <xf numFmtId="43" fontId="4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7" fillId="0" borderId="1" xfId="1" applyFont="1" applyBorder="1" applyAlignment="1">
      <alignment horizontal="center"/>
    </xf>
    <xf numFmtId="43" fontId="7" fillId="0" borderId="2" xfId="1" applyFont="1" applyBorder="1" applyAlignment="1">
      <alignment horizontal="center"/>
    </xf>
    <xf numFmtId="43" fontId="7" fillId="0" borderId="3" xfId="1" applyFont="1" applyBorder="1" applyAlignment="1">
      <alignment horizontal="center"/>
    </xf>
    <xf numFmtId="43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3" fontId="7" fillId="0" borderId="4" xfId="1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43" fontId="8" fillId="0" borderId="7" xfId="1" applyFont="1" applyBorder="1" applyAlignment="1">
      <alignment vertical="center"/>
    </xf>
    <xf numFmtId="43" fontId="8" fillId="0" borderId="8" xfId="1" applyFont="1" applyBorder="1" applyAlignment="1">
      <alignment vertical="center"/>
    </xf>
    <xf numFmtId="2" fontId="8" fillId="0" borderId="8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vertical="center"/>
    </xf>
    <xf numFmtId="0" fontId="9" fillId="0" borderId="5" xfId="0" applyFont="1" applyBorder="1" applyAlignment="1">
      <alignment horizontal="center"/>
    </xf>
    <xf numFmtId="43" fontId="9" fillId="0" borderId="2" xfId="1" applyFont="1" applyBorder="1" applyAlignment="1">
      <alignment vertical="center"/>
    </xf>
    <xf numFmtId="43" fontId="9" fillId="0" borderId="7" xfId="1" applyFont="1" applyBorder="1" applyAlignment="1">
      <alignment vertical="center"/>
    </xf>
    <xf numFmtId="43" fontId="9" fillId="0" borderId="8" xfId="1" applyFont="1" applyBorder="1" applyAlignment="1">
      <alignment vertical="center"/>
    </xf>
    <xf numFmtId="43" fontId="9" fillId="0" borderId="7" xfId="1" applyFont="1" applyFill="1" applyBorder="1" applyAlignment="1">
      <alignment vertical="center"/>
    </xf>
    <xf numFmtId="43" fontId="9" fillId="0" borderId="9" xfId="1" applyFont="1" applyBorder="1" applyAlignment="1">
      <alignment vertical="center"/>
    </xf>
    <xf numFmtId="2" fontId="9" fillId="0" borderId="8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vertical="center"/>
    </xf>
    <xf numFmtId="43" fontId="8" fillId="0" borderId="7" xfId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43" fontId="8" fillId="2" borderId="2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43" fontId="8" fillId="2" borderId="7" xfId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43" fontId="10" fillId="0" borderId="0" xfId="0" applyNumberFormat="1" applyFont="1"/>
  </cellXfs>
  <cellStyles count="2">
    <cellStyle name="কমা" xfId="1" builtinId="3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13" zoomScale="130" zoomScaleNormal="130" workbookViewId="0">
      <selection activeCell="E21" sqref="E21"/>
    </sheetView>
  </sheetViews>
  <sheetFormatPr defaultRowHeight="15" x14ac:dyDescent="0.25"/>
  <cols>
    <col min="1" max="1" width="10.85546875" style="35" customWidth="1"/>
    <col min="2" max="2" width="12.5703125" style="35" bestFit="1" customWidth="1"/>
    <col min="3" max="3" width="14.140625" style="35" bestFit="1" customWidth="1"/>
    <col min="4" max="4" width="12.5703125" style="35" bestFit="1" customWidth="1"/>
    <col min="5" max="5" width="11.5703125" style="35" bestFit="1" customWidth="1"/>
    <col min="6" max="6" width="12.5703125" style="35" bestFit="1" customWidth="1"/>
    <col min="7" max="7" width="10.85546875" style="35" customWidth="1"/>
    <col min="8" max="8" width="12.28515625" style="35" customWidth="1"/>
    <col min="9" max="9" width="9.7109375" style="35" customWidth="1"/>
    <col min="10" max="10" width="13.28515625" style="35" customWidth="1"/>
    <col min="11" max="11" width="12.7109375" style="35" customWidth="1"/>
    <col min="12" max="12" width="9.5703125" style="35" customWidth="1"/>
    <col min="13" max="13" width="11.5703125" style="35" customWidth="1"/>
    <col min="14" max="14" width="17.140625" style="35" customWidth="1"/>
    <col min="15" max="16384" width="9.140625" style="35"/>
  </cols>
  <sheetData>
    <row r="1" spans="1:12" ht="25.5" x14ac:dyDescent="0.35">
      <c r="A1" s="32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20.25" x14ac:dyDescent="0.3">
      <c r="A2" s="33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20.25" x14ac:dyDescent="0.3">
      <c r="A3" s="34" t="s">
        <v>31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s="36" customFormat="1" ht="16.5" customHeight="1" x14ac:dyDescent="0.2">
      <c r="A5" s="11" t="s">
        <v>0</v>
      </c>
      <c r="B5" s="12" t="s">
        <v>1</v>
      </c>
      <c r="C5" s="13" t="s">
        <v>2</v>
      </c>
      <c r="D5" s="12" t="s">
        <v>3</v>
      </c>
      <c r="E5" s="12" t="s">
        <v>4</v>
      </c>
      <c r="F5" s="12" t="s">
        <v>5</v>
      </c>
      <c r="G5" s="13" t="s">
        <v>6</v>
      </c>
      <c r="H5" s="12" t="s">
        <v>7</v>
      </c>
      <c r="I5" s="12" t="s">
        <v>8</v>
      </c>
      <c r="J5" s="13" t="s">
        <v>9</v>
      </c>
      <c r="K5" s="14" t="s">
        <v>1</v>
      </c>
      <c r="L5" s="15" t="s">
        <v>10</v>
      </c>
    </row>
    <row r="6" spans="1:12" s="36" customFormat="1" ht="16.5" customHeight="1" x14ac:dyDescent="0.2">
      <c r="A6" s="16"/>
      <c r="B6" s="17"/>
      <c r="C6" s="18"/>
      <c r="D6" s="17"/>
      <c r="E6" s="17"/>
      <c r="F6" s="17"/>
      <c r="G6" s="18"/>
      <c r="H6" s="17"/>
      <c r="I6" s="17"/>
      <c r="J6" s="18"/>
      <c r="K6" s="2" t="s">
        <v>11</v>
      </c>
      <c r="L6" s="23" t="s">
        <v>12</v>
      </c>
    </row>
    <row r="7" spans="1:12" s="38" customFormat="1" ht="18" customHeight="1" x14ac:dyDescent="0.25">
      <c r="A7" s="37" t="s">
        <v>21</v>
      </c>
      <c r="B7" s="24">
        <v>350000</v>
      </c>
      <c r="C7" s="25">
        <v>1154887</v>
      </c>
      <c r="D7" s="26">
        <v>305640</v>
      </c>
      <c r="E7" s="25">
        <v>6450</v>
      </c>
      <c r="F7" s="25">
        <f>D7-E7</f>
        <v>299190</v>
      </c>
      <c r="G7" s="25">
        <v>5030</v>
      </c>
      <c r="H7" s="25">
        <v>164000</v>
      </c>
      <c r="I7" s="28"/>
      <c r="J7" s="25">
        <f>C7+D7-E7-G7-H7-I7</f>
        <v>1285047</v>
      </c>
      <c r="K7" s="29">
        <f>F7*100/B7</f>
        <v>85.482857142857142</v>
      </c>
      <c r="L7" s="22">
        <f>F7*100/F20</f>
        <v>12.051036556703997</v>
      </c>
    </row>
    <row r="8" spans="1:12" s="38" customFormat="1" ht="18" customHeight="1" x14ac:dyDescent="0.25">
      <c r="A8" s="39" t="s">
        <v>23</v>
      </c>
      <c r="B8" s="25">
        <v>275000</v>
      </c>
      <c r="C8" s="25">
        <v>893173</v>
      </c>
      <c r="D8" s="26">
        <v>312830</v>
      </c>
      <c r="E8" s="27"/>
      <c r="F8" s="25">
        <f t="shared" ref="F8:F19" si="0">D8-E8</f>
        <v>312830</v>
      </c>
      <c r="G8" s="25">
        <v>31670</v>
      </c>
      <c r="H8" s="25">
        <v>285130</v>
      </c>
      <c r="I8" s="25"/>
      <c r="J8" s="25">
        <f t="shared" ref="J8:J19" si="1">C8+D8-E8-G8-H8-I8</f>
        <v>889203</v>
      </c>
      <c r="K8" s="29">
        <f t="shared" ref="K8:K19" si="2">F8*100/B8</f>
        <v>113.75636363636363</v>
      </c>
      <c r="L8" s="22">
        <f>F8*100/F20</f>
        <v>12.600440409217256</v>
      </c>
    </row>
    <row r="9" spans="1:12" s="38" customFormat="1" ht="18" customHeight="1" x14ac:dyDescent="0.25">
      <c r="A9" s="39" t="s">
        <v>24</v>
      </c>
      <c r="B9" s="25">
        <v>250000</v>
      </c>
      <c r="C9" s="25">
        <v>1002344</v>
      </c>
      <c r="D9" s="26">
        <v>203800</v>
      </c>
      <c r="E9" s="27">
        <v>1450</v>
      </c>
      <c r="F9" s="25">
        <f t="shared" si="0"/>
        <v>202350</v>
      </c>
      <c r="G9" s="25">
        <v>0</v>
      </c>
      <c r="H9" s="25">
        <v>253000</v>
      </c>
      <c r="I9" s="25"/>
      <c r="J9" s="25">
        <f t="shared" si="1"/>
        <v>951694</v>
      </c>
      <c r="K9" s="29">
        <f>F9*100/B9</f>
        <v>80.94</v>
      </c>
      <c r="L9" s="22">
        <f>F9*100/F20</f>
        <v>8.1504303193591152</v>
      </c>
    </row>
    <row r="10" spans="1:12" s="38" customFormat="1" ht="18" customHeight="1" x14ac:dyDescent="0.25">
      <c r="A10" s="37" t="s">
        <v>26</v>
      </c>
      <c r="B10" s="24">
        <v>275000</v>
      </c>
      <c r="C10" s="25">
        <v>271875</v>
      </c>
      <c r="D10" s="26">
        <v>37570</v>
      </c>
      <c r="E10" s="25">
        <v>66639</v>
      </c>
      <c r="F10" s="25">
        <f>D10-E10</f>
        <v>-29069</v>
      </c>
      <c r="G10" s="25">
        <v>0</v>
      </c>
      <c r="H10" s="25">
        <v>5000</v>
      </c>
      <c r="I10" s="25"/>
      <c r="J10" s="25">
        <f>C10+D10-E10-G10-H10-I10</f>
        <v>237806</v>
      </c>
      <c r="K10" s="29">
        <f t="shared" si="2"/>
        <v>-10.570545454545455</v>
      </c>
      <c r="L10" s="22">
        <f>F10*100/F20</f>
        <v>-1.170866612075365</v>
      </c>
    </row>
    <row r="11" spans="1:12" s="38" customFormat="1" ht="18" customHeight="1" x14ac:dyDescent="0.25">
      <c r="A11" s="39" t="s">
        <v>13</v>
      </c>
      <c r="B11" s="25">
        <v>550000</v>
      </c>
      <c r="C11" s="25">
        <v>2149234</v>
      </c>
      <c r="D11" s="26">
        <v>597315</v>
      </c>
      <c r="E11" s="27"/>
      <c r="F11" s="25">
        <f>D11-E11</f>
        <v>597315</v>
      </c>
      <c r="G11" s="25">
        <v>2512</v>
      </c>
      <c r="H11" s="25">
        <v>434200</v>
      </c>
      <c r="I11" s="25"/>
      <c r="J11" s="25">
        <f t="shared" si="1"/>
        <v>2309837</v>
      </c>
      <c r="K11" s="29">
        <f>F11*100/B11</f>
        <v>108.60272727272728</v>
      </c>
      <c r="L11" s="22">
        <f>F11*100/F20</f>
        <v>24.059176111727155</v>
      </c>
    </row>
    <row r="12" spans="1:12" s="38" customFormat="1" ht="18" customHeight="1" x14ac:dyDescent="0.25">
      <c r="A12" s="39" t="s">
        <v>17</v>
      </c>
      <c r="B12" s="25">
        <v>250000</v>
      </c>
      <c r="C12" s="25">
        <v>926425</v>
      </c>
      <c r="D12" s="26">
        <v>38220</v>
      </c>
      <c r="E12" s="25"/>
      <c r="F12" s="25">
        <f t="shared" si="0"/>
        <v>38220</v>
      </c>
      <c r="G12" s="25">
        <v>900</v>
      </c>
      <c r="H12" s="25">
        <v>30700</v>
      </c>
      <c r="I12" s="25"/>
      <c r="J12" s="25">
        <f t="shared" si="1"/>
        <v>933045</v>
      </c>
      <c r="K12" s="29">
        <f t="shared" si="2"/>
        <v>15.288</v>
      </c>
      <c r="L12" s="22">
        <f>F12*100/F20</f>
        <v>1.5394585955320255</v>
      </c>
    </row>
    <row r="13" spans="1:12" s="38" customFormat="1" ht="18" customHeight="1" x14ac:dyDescent="0.25">
      <c r="A13" s="37" t="s">
        <v>20</v>
      </c>
      <c r="B13" s="24">
        <v>250000</v>
      </c>
      <c r="C13" s="25">
        <v>509134</v>
      </c>
      <c r="D13" s="26">
        <v>92890</v>
      </c>
      <c r="E13" s="25"/>
      <c r="F13" s="25">
        <f t="shared" si="0"/>
        <v>92890</v>
      </c>
      <c r="G13" s="25">
        <v>375</v>
      </c>
      <c r="H13" s="25">
        <v>62570</v>
      </c>
      <c r="I13" s="25"/>
      <c r="J13" s="25">
        <f t="shared" si="1"/>
        <v>539079</v>
      </c>
      <c r="K13" s="29">
        <f t="shared" si="2"/>
        <v>37.155999999999999</v>
      </c>
      <c r="L13" s="22">
        <f>F13*100/F20</f>
        <v>3.7415046818150146</v>
      </c>
    </row>
    <row r="14" spans="1:12" s="38" customFormat="1" ht="18" customHeight="1" x14ac:dyDescent="0.25">
      <c r="A14" s="37" t="s">
        <v>25</v>
      </c>
      <c r="B14" s="24">
        <v>300000</v>
      </c>
      <c r="C14" s="25">
        <v>487589</v>
      </c>
      <c r="D14" s="26">
        <v>228460</v>
      </c>
      <c r="E14" s="25"/>
      <c r="F14" s="25">
        <f>D14-E14</f>
        <v>228460</v>
      </c>
      <c r="G14" s="25">
        <v>3896</v>
      </c>
      <c r="H14" s="25">
        <v>161400</v>
      </c>
      <c r="I14" s="25"/>
      <c r="J14" s="25">
        <f t="shared" si="1"/>
        <v>550753</v>
      </c>
      <c r="K14" s="29">
        <f t="shared" si="2"/>
        <v>76.153333333333336</v>
      </c>
      <c r="L14" s="22">
        <f>F14*100/F20</f>
        <v>9.2021117408489417</v>
      </c>
    </row>
    <row r="15" spans="1:12" s="38" customFormat="1" ht="18" customHeight="1" x14ac:dyDescent="0.25">
      <c r="A15" s="39" t="s">
        <v>19</v>
      </c>
      <c r="B15" s="25">
        <v>350000</v>
      </c>
      <c r="C15" s="25">
        <v>1469244</v>
      </c>
      <c r="D15" s="26">
        <v>324900</v>
      </c>
      <c r="E15" s="25"/>
      <c r="F15" s="25">
        <f t="shared" si="0"/>
        <v>324900</v>
      </c>
      <c r="G15" s="25">
        <v>151839</v>
      </c>
      <c r="H15" s="25">
        <v>150000</v>
      </c>
      <c r="I15" s="25"/>
      <c r="J15" s="25">
        <f t="shared" si="1"/>
        <v>1492305</v>
      </c>
      <c r="K15" s="29">
        <f t="shared" si="2"/>
        <v>92.828571428571422</v>
      </c>
      <c r="L15" s="22">
        <f>F15*100/F20</f>
        <v>13.086606428266748</v>
      </c>
    </row>
    <row r="16" spans="1:12" s="38" customFormat="1" ht="18" customHeight="1" x14ac:dyDescent="0.25">
      <c r="A16" s="39" t="s">
        <v>28</v>
      </c>
      <c r="B16" s="25">
        <v>275000</v>
      </c>
      <c r="C16" s="25">
        <v>590167</v>
      </c>
      <c r="D16" s="26">
        <v>38710</v>
      </c>
      <c r="E16" s="25"/>
      <c r="F16" s="25">
        <f>D16-E16</f>
        <v>38710</v>
      </c>
      <c r="G16" s="25">
        <v>1548</v>
      </c>
      <c r="H16" s="25">
        <v>10000</v>
      </c>
      <c r="I16" s="25"/>
      <c r="J16" s="25">
        <f t="shared" si="1"/>
        <v>617329</v>
      </c>
      <c r="K16" s="29">
        <f t="shared" si="2"/>
        <v>14.076363636363636</v>
      </c>
      <c r="L16" s="22">
        <f>F16*100/F20</f>
        <v>1.5591952441926926</v>
      </c>
    </row>
    <row r="17" spans="1:12" s="38" customFormat="1" ht="18" customHeight="1" x14ac:dyDescent="0.25">
      <c r="A17" s="37" t="s">
        <v>27</v>
      </c>
      <c r="B17" s="25">
        <v>275000</v>
      </c>
      <c r="C17" s="25">
        <v>346189</v>
      </c>
      <c r="D17" s="26">
        <v>50000</v>
      </c>
      <c r="E17" s="25"/>
      <c r="F17" s="25">
        <f>D17-E17</f>
        <v>50000</v>
      </c>
      <c r="G17" s="25">
        <v>2000</v>
      </c>
      <c r="H17" s="25">
        <v>145000</v>
      </c>
      <c r="I17" s="28"/>
      <c r="J17" s="25">
        <f t="shared" si="1"/>
        <v>249189</v>
      </c>
      <c r="K17" s="29">
        <f t="shared" si="2"/>
        <v>18.181818181818183</v>
      </c>
      <c r="L17" s="22">
        <f>F17*100/F20</f>
        <v>2.013943740884387</v>
      </c>
    </row>
    <row r="18" spans="1:12" s="38" customFormat="1" ht="18" customHeight="1" x14ac:dyDescent="0.25">
      <c r="A18" s="37" t="s">
        <v>29</v>
      </c>
      <c r="B18" s="24">
        <v>300000</v>
      </c>
      <c r="C18" s="25">
        <v>2609798</v>
      </c>
      <c r="D18" s="26">
        <v>252670</v>
      </c>
      <c r="E18" s="25"/>
      <c r="F18" s="25">
        <f t="shared" si="0"/>
        <v>252670</v>
      </c>
      <c r="G18" s="25">
        <v>8872</v>
      </c>
      <c r="H18" s="25">
        <v>189000</v>
      </c>
      <c r="I18" s="28"/>
      <c r="J18" s="25">
        <f t="shared" si="1"/>
        <v>2664596</v>
      </c>
      <c r="K18" s="29">
        <f t="shared" si="2"/>
        <v>84.223333333333329</v>
      </c>
      <c r="L18" s="22">
        <f>F18*100/F20</f>
        <v>10.177263300185162</v>
      </c>
    </row>
    <row r="19" spans="1:12" s="38" customFormat="1" ht="18" customHeight="1" x14ac:dyDescent="0.25">
      <c r="A19" s="37" t="s">
        <v>30</v>
      </c>
      <c r="B19" s="24">
        <v>250000</v>
      </c>
      <c r="C19" s="25">
        <v>749049</v>
      </c>
      <c r="D19" s="26">
        <v>93440</v>
      </c>
      <c r="E19" s="25">
        <v>19215</v>
      </c>
      <c r="F19" s="25">
        <f t="shared" si="0"/>
        <v>74225</v>
      </c>
      <c r="G19" s="25">
        <v>1645</v>
      </c>
      <c r="H19" s="25">
        <v>70000</v>
      </c>
      <c r="I19" s="25">
        <v>0</v>
      </c>
      <c r="J19" s="25">
        <f t="shared" si="1"/>
        <v>751629</v>
      </c>
      <c r="K19" s="29">
        <f t="shared" si="2"/>
        <v>29.69</v>
      </c>
      <c r="L19" s="22">
        <f>F19*100/F20</f>
        <v>2.9896994833428727</v>
      </c>
    </row>
    <row r="20" spans="1:12" s="40" customFormat="1" ht="18" customHeight="1" x14ac:dyDescent="0.25">
      <c r="A20" s="31" t="s">
        <v>14</v>
      </c>
      <c r="B20" s="19">
        <f>SUM(B7:B19)</f>
        <v>3950000</v>
      </c>
      <c r="C20" s="19">
        <f>SUM(C7:C19)</f>
        <v>13159108</v>
      </c>
      <c r="D20" s="20">
        <f t="shared" ref="D20:J20" si="3">SUM(D7:D19)</f>
        <v>2576445</v>
      </c>
      <c r="E20" s="20">
        <f>SUM(E7:E19)</f>
        <v>93754</v>
      </c>
      <c r="F20" s="19">
        <f t="shared" si="3"/>
        <v>2482691</v>
      </c>
      <c r="G20" s="19">
        <f t="shared" si="3"/>
        <v>210287</v>
      </c>
      <c r="H20" s="19">
        <f>SUM(H7:H19)</f>
        <v>1960000</v>
      </c>
      <c r="I20" s="19">
        <f t="shared" si="3"/>
        <v>0</v>
      </c>
      <c r="J20" s="19">
        <f t="shared" si="3"/>
        <v>13471512</v>
      </c>
      <c r="K20" s="21">
        <f>F20*100/B20</f>
        <v>62.85293670886076</v>
      </c>
      <c r="L20" s="30">
        <f>SUM(L7:L19)</f>
        <v>100</v>
      </c>
    </row>
    <row r="21" spans="1:12" s="38" customFormat="1" ht="18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5"/>
      <c r="K21" s="6"/>
      <c r="L21" s="6"/>
    </row>
    <row r="22" spans="1:12" s="38" customFormat="1" ht="18" customHeight="1" x14ac:dyDescent="0.25">
      <c r="A22" s="7"/>
      <c r="B22" s="8"/>
      <c r="C22" s="8"/>
      <c r="D22" s="8"/>
      <c r="E22" s="8"/>
      <c r="F22" s="8"/>
      <c r="G22" s="8"/>
      <c r="H22" s="8"/>
      <c r="I22" s="8"/>
      <c r="J22" s="9"/>
      <c r="K22" s="10"/>
      <c r="L22" s="8"/>
    </row>
    <row r="23" spans="1:12" x14ac:dyDescent="0.25">
      <c r="J23" s="3"/>
    </row>
    <row r="24" spans="1:12" x14ac:dyDescent="0.25">
      <c r="A24" s="35" t="s">
        <v>15</v>
      </c>
      <c r="F24" s="35" t="s">
        <v>16</v>
      </c>
      <c r="J24" s="3"/>
      <c r="K24" s="35" t="s">
        <v>22</v>
      </c>
    </row>
    <row r="25" spans="1:12" x14ac:dyDescent="0.25">
      <c r="C25" s="41"/>
      <c r="J25" s="3"/>
    </row>
  </sheetData>
  <mergeCells count="3">
    <mergeCell ref="A1:L1"/>
    <mergeCell ref="A2:L2"/>
    <mergeCell ref="A3:L3"/>
  </mergeCells>
  <pageMargins left="0.27" right="0" top="1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2026-06-11T11:50:26Z</dcterms:modified>
</cp:coreProperties>
</file>