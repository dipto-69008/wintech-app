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55128410-8526-44E0-B298-4175C2C191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K20" i="1" l="1"/>
  <c r="B20" i="1"/>
  <c r="J17" i="1"/>
  <c r="F17" i="1"/>
  <c r="K17" i="1" s="1"/>
  <c r="J10" i="1"/>
  <c r="E20" i="1"/>
  <c r="H20" i="1"/>
  <c r="G20" i="1"/>
  <c r="D20" i="1"/>
  <c r="I20" i="1"/>
  <c r="J7" i="1"/>
  <c r="J8" i="1"/>
  <c r="J9" i="1"/>
  <c r="J11" i="1"/>
  <c r="J12" i="1"/>
  <c r="J13" i="1"/>
  <c r="J14" i="1"/>
  <c r="J15" i="1"/>
  <c r="J16" i="1"/>
  <c r="J18" i="1"/>
  <c r="J19" i="1"/>
  <c r="F16" i="1"/>
  <c r="K16" i="1" s="1"/>
  <c r="F11" i="1"/>
  <c r="F8" i="1"/>
  <c r="F9" i="1"/>
  <c r="F12" i="1"/>
  <c r="F13" i="1"/>
  <c r="F14" i="1"/>
  <c r="K14" i="1" s="1"/>
  <c r="F15" i="1"/>
  <c r="K15" i="1" s="1"/>
  <c r="F18" i="1"/>
  <c r="K18" i="1" s="1"/>
  <c r="F19" i="1"/>
  <c r="F10" i="1"/>
  <c r="F7" i="1"/>
  <c r="F20" i="1" l="1"/>
  <c r="K10" i="1"/>
  <c r="K8" i="1"/>
  <c r="K9" i="1"/>
  <c r="K11" i="1"/>
  <c r="K12" i="1"/>
  <c r="K13" i="1"/>
  <c r="K19" i="1"/>
  <c r="L19" i="1" l="1"/>
  <c r="L17" i="1"/>
  <c r="L16" i="1"/>
  <c r="L15" i="1"/>
  <c r="L8" i="1"/>
  <c r="L7" i="1"/>
  <c r="L18" i="1"/>
  <c r="L10" i="1"/>
  <c r="L9" i="1"/>
  <c r="L14" i="1"/>
  <c r="L13" i="1"/>
  <c r="L12" i="1"/>
  <c r="L11" i="1"/>
  <c r="K7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<sst xmlns="http://schemas.openxmlformats.org/spreadsheetml/2006/main" count="34" uniqueCount="33">
  <si>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</si>
  <si>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</si>
  <si>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</si>
  <si>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</si>
  <si>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</si>
  <si>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</si>
  <si>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</si>
  <si>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</si>
  <si>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</si>
  <si>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</si>
  <si>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</si>
  <si>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</si>
  <si>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</si>
  <si>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</si>
  <si>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</si>
  <si>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</si>
  <si>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</si>
  <si>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</si>
  <si>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</si>
  <si>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WINTECH AGRO BANGLADESH</t>
  </si>
  <si>
    <t>Feni</t>
  </si>
  <si>
    <t>Comilla-3</t>
  </si>
  <si>
    <t>Mymen-1</t>
  </si>
  <si>
    <t>Manager Sales</t>
  </si>
  <si>
    <t>Fulbaria</t>
  </si>
  <si>
    <t>Muktagasa</t>
  </si>
  <si>
    <t>Comilla-4H</t>
  </si>
  <si>
    <t xml:space="preserve">Tarakanda </t>
  </si>
  <si>
    <t>Bogura 2</t>
  </si>
  <si>
    <t>Bogura</t>
  </si>
  <si>
    <t>Jessore 2</t>
  </si>
  <si>
    <t xml:space="preserve">Phulpur </t>
  </si>
  <si>
    <t>Month of Febuary 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</si>
</sst>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0" xfId="1" applyFont="1"/>
    <xf numFmtId="43" fontId="6" fillId="2" borderId="2" xfId="1" applyFont="1" applyFill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43" fontId="3" fillId="0" borderId="8" xfId="1" applyFont="1" applyBorder="1" applyAlignment="1">
      <alignment vertical="center"/>
    </xf>
    <xf numFmtId="43" fontId="3" fillId="0" borderId="9" xfId="1" applyFont="1" applyBorder="1" applyAlignment="1">
      <alignment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3" fontId="6" fillId="2" borderId="7" xfId="1" applyFont="1" applyFill="1" applyBorder="1" applyAlignment="1">
      <alignment vertical="center"/>
    </xf>
    <xf numFmtId="43" fontId="3" fillId="0" borderId="7" xfId="1" applyFont="1" applyFill="1" applyBorder="1" applyAlignment="1">
      <alignment vertical="center"/>
    </xf>
    <xf numFmtId="43" fontId="4" fillId="0" borderId="7" xfId="1" applyFont="1" applyBorder="1" applyAlignment="1">
      <alignment vertical="center"/>
    </xf>
    <xf numFmtId="43" fontId="4" fillId="0" borderId="8" xfId="1" applyFont="1" applyBorder="1" applyAlignment="1">
      <alignment vertical="center"/>
    </xf>
    <xf numFmtId="2" fontId="4" fillId="0" borderId="8" xfId="0" applyNumberFormat="1" applyFont="1" applyBorder="1" applyAlignment="1">
      <alignment horizontal="center" vertical="center"/>
    </xf>
    <xf numFmtId="43" fontId="4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4" zoomScale="115" zoomScaleNormal="115" workbookViewId="0">
      <selection activeCell="J20" sqref="J20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3.28515625" customWidth="1"/>
    <col min="11" max="11" width="13.42578125" customWidth="1"/>
    <col min="12" max="12" width="12.5703125" customWidth="1"/>
    <col min="14" max="14" width="11.5703125" customWidth="1"/>
    <col min="15" max="15" width="17.140625" customWidth="1"/>
  </cols>
  <sheetData>
    <row r="1" spans="1:12" ht="25.5" x14ac:dyDescent="0.35">
      <c r="A1" s="33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25" x14ac:dyDescent="0.3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0.25" x14ac:dyDescent="0.3">
      <c r="A3" s="35" t="s">
        <v>32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s="20" customFormat="1" ht="18" customHeight="1" x14ac:dyDescent="0.25">
      <c r="A7" s="13" t="s">
        <v>22</v>
      </c>
      <c r="B7" s="14">
        <v>400000</v>
      </c>
      <c r="C7" s="15">
        <v>549635</v>
      </c>
      <c r="D7" s="16">
        <v>349430</v>
      </c>
      <c r="E7" s="15">
        <v>5900</v>
      </c>
      <c r="F7" s="15">
        <f>D7-E7</f>
        <v>343530</v>
      </c>
      <c r="G7" s="15">
        <v>0</v>
      </c>
      <c r="H7" s="15">
        <v>67000</v>
      </c>
      <c r="I7" s="17">
        <v>0</v>
      </c>
      <c r="J7" s="15">
        <f>C7+D7-E7-G7-H7-I7</f>
        <v>826165</v>
      </c>
      <c r="K7" s="18">
        <f t="shared" ref="K7:K19" si="0">F7*100/B7</f>
        <v>85.882499999999993</v>
      </c>
      <c r="L7" s="19">
        <f>F7*100/F20</f>
        <v>14.413836074240507</v>
      </c>
    </row>
    <row r="8" spans="1:12" s="20" customFormat="1" ht="18" customHeight="1" x14ac:dyDescent="0.25">
      <c r="A8" s="21" t="s">
        <v>24</v>
      </c>
      <c r="B8" s="15">
        <v>250000</v>
      </c>
      <c r="C8" s="15">
        <v>726166</v>
      </c>
      <c r="D8" s="16">
        <v>257380</v>
      </c>
      <c r="E8" s="22">
        <v>0</v>
      </c>
      <c r="F8" s="15">
        <f t="shared" ref="F8:F19" si="1">D8-E8</f>
        <v>257380</v>
      </c>
      <c r="G8" s="15">
        <v>15150</v>
      </c>
      <c r="H8" s="15">
        <v>164340</v>
      </c>
      <c r="I8" s="15">
        <v>0</v>
      </c>
      <c r="J8" s="15">
        <f t="shared" ref="J8:J19" si="2">C8+D8-E8-G8-H8-I8</f>
        <v>804056</v>
      </c>
      <c r="K8" s="18">
        <f>F8*100/B8</f>
        <v>102.952</v>
      </c>
      <c r="L8" s="19">
        <f>F8*100/F20</f>
        <v>10.799153287305394</v>
      </c>
    </row>
    <row r="9" spans="1:12" s="20" customFormat="1" ht="18" customHeight="1" x14ac:dyDescent="0.25">
      <c r="A9" s="21" t="s">
        <v>25</v>
      </c>
      <c r="B9" s="15">
        <v>250000</v>
      </c>
      <c r="C9" s="15">
        <v>714498</v>
      </c>
      <c r="D9" s="16">
        <v>133580</v>
      </c>
      <c r="E9" s="22">
        <v>1560</v>
      </c>
      <c r="F9" s="15">
        <f t="shared" si="1"/>
        <v>132020</v>
      </c>
      <c r="G9" s="15">
        <v>5110</v>
      </c>
      <c r="H9" s="15">
        <v>16400</v>
      </c>
      <c r="I9" s="15">
        <v>0</v>
      </c>
      <c r="J9" s="15">
        <f t="shared" si="2"/>
        <v>825008</v>
      </c>
      <c r="K9" s="18">
        <f t="shared" si="0"/>
        <v>52.808</v>
      </c>
      <c r="L9" s="19">
        <f>F9*100/F20</f>
        <v>5.5392968256665558</v>
      </c>
    </row>
    <row r="10" spans="1:12" s="20" customFormat="1" ht="18" customHeight="1" x14ac:dyDescent="0.25">
      <c r="A10" s="13" t="s">
        <v>27</v>
      </c>
      <c r="B10" s="14">
        <v>250000</v>
      </c>
      <c r="C10" s="15">
        <v>91015</v>
      </c>
      <c r="D10" s="16">
        <v>175370</v>
      </c>
      <c r="E10" s="15">
        <v>0</v>
      </c>
      <c r="F10" s="15">
        <f>D10-E10</f>
        <v>175370</v>
      </c>
      <c r="G10" s="15">
        <v>0</v>
      </c>
      <c r="H10" s="15">
        <v>31120</v>
      </c>
      <c r="I10" s="15">
        <v>0</v>
      </c>
      <c r="J10" s="15">
        <f>C10+D10-E10-G10-H10-I10</f>
        <v>235265</v>
      </c>
      <c r="K10" s="18">
        <f>F10*100/B10</f>
        <v>70.147999999999996</v>
      </c>
      <c r="L10" s="19">
        <f>F10*100/F20</f>
        <v>7.3581766726037259</v>
      </c>
    </row>
    <row r="11" spans="1:12" s="20" customFormat="1" ht="18" customHeight="1" x14ac:dyDescent="0.25">
      <c r="A11" s="21" t="s">
        <v>14</v>
      </c>
      <c r="B11" s="15">
        <v>600000</v>
      </c>
      <c r="C11" s="15">
        <v>1876089</v>
      </c>
      <c r="D11" s="16">
        <v>412535</v>
      </c>
      <c r="E11" s="22"/>
      <c r="F11" s="15">
        <f>D11-E11</f>
        <v>412535</v>
      </c>
      <c r="G11" s="15">
        <v>3793</v>
      </c>
      <c r="H11" s="15">
        <v>413100</v>
      </c>
      <c r="I11" s="15">
        <v>0</v>
      </c>
      <c r="J11" s="15">
        <f t="shared" si="2"/>
        <v>1871731</v>
      </c>
      <c r="K11" s="18">
        <f t="shared" si="0"/>
        <v>68.755833333333328</v>
      </c>
      <c r="L11" s="19">
        <f>F11*100/F20</f>
        <v>17.309148734861026</v>
      </c>
    </row>
    <row r="12" spans="1:12" s="20" customFormat="1" ht="18" customHeight="1" x14ac:dyDescent="0.25">
      <c r="A12" s="21" t="s">
        <v>18</v>
      </c>
      <c r="B12" s="15">
        <v>275000</v>
      </c>
      <c r="C12" s="15">
        <v>913295</v>
      </c>
      <c r="D12" s="16">
        <v>0</v>
      </c>
      <c r="E12" s="15">
        <v>0</v>
      </c>
      <c r="F12" s="15">
        <f t="shared" si="1"/>
        <v>0</v>
      </c>
      <c r="G12" s="15">
        <v>0</v>
      </c>
      <c r="H12" s="15">
        <v>10000</v>
      </c>
      <c r="I12" s="15">
        <v>0</v>
      </c>
      <c r="J12" s="15">
        <f t="shared" si="2"/>
        <v>903295</v>
      </c>
      <c r="K12" s="18">
        <f t="shared" si="0"/>
        <v>0</v>
      </c>
      <c r="L12" s="19">
        <f>F12*100/F20</f>
        <v>0</v>
      </c>
    </row>
    <row r="13" spans="1:12" s="20" customFormat="1" ht="18" customHeight="1" x14ac:dyDescent="0.25">
      <c r="A13" s="13" t="s">
        <v>21</v>
      </c>
      <c r="B13" s="14">
        <v>250000</v>
      </c>
      <c r="C13" s="15">
        <v>535809</v>
      </c>
      <c r="D13" s="16">
        <v>37385</v>
      </c>
      <c r="E13" s="15">
        <v>0</v>
      </c>
      <c r="F13" s="15">
        <f t="shared" si="1"/>
        <v>37385</v>
      </c>
      <c r="G13" s="15">
        <v>1045</v>
      </c>
      <c r="H13" s="15">
        <v>47130</v>
      </c>
      <c r="I13" s="15">
        <v>0</v>
      </c>
      <c r="J13" s="15">
        <f t="shared" si="2"/>
        <v>525019</v>
      </c>
      <c r="K13" s="18">
        <f t="shared" si="0"/>
        <v>14.954000000000001</v>
      </c>
      <c r="L13" s="19">
        <f>F13*100/F20</f>
        <v>1.5686003016781107</v>
      </c>
    </row>
    <row r="14" spans="1:12" s="20" customFormat="1" ht="18" customHeight="1" x14ac:dyDescent="0.25">
      <c r="A14" s="13" t="s">
        <v>26</v>
      </c>
      <c r="B14" s="14">
        <v>300000</v>
      </c>
      <c r="C14" s="15">
        <v>509599</v>
      </c>
      <c r="D14" s="16">
        <v>61010</v>
      </c>
      <c r="E14" s="15">
        <v>0</v>
      </c>
      <c r="F14" s="15">
        <f t="shared" si="1"/>
        <v>61010</v>
      </c>
      <c r="G14" s="15">
        <v>1510</v>
      </c>
      <c r="H14" s="15">
        <v>64100</v>
      </c>
      <c r="I14" s="15">
        <v>0</v>
      </c>
      <c r="J14" s="15">
        <f t="shared" si="2"/>
        <v>504999</v>
      </c>
      <c r="K14" s="18">
        <f>F14*100/B14</f>
        <v>20.336666666666666</v>
      </c>
      <c r="L14" s="19">
        <f>F14*100/F20</f>
        <v>2.5598583497494056</v>
      </c>
    </row>
    <row r="15" spans="1:12" s="20" customFormat="1" ht="18" customHeight="1" x14ac:dyDescent="0.25">
      <c r="A15" s="21" t="s">
        <v>20</v>
      </c>
      <c r="B15" s="15">
        <v>350000</v>
      </c>
      <c r="C15" s="15">
        <v>1280314</v>
      </c>
      <c r="D15" s="16">
        <v>245400</v>
      </c>
      <c r="E15" s="15">
        <v>0</v>
      </c>
      <c r="F15" s="15">
        <f t="shared" si="1"/>
        <v>245400</v>
      </c>
      <c r="G15" s="15">
        <v>14154</v>
      </c>
      <c r="H15" s="15">
        <v>140000</v>
      </c>
      <c r="I15" s="15">
        <v>0</v>
      </c>
      <c r="J15" s="15">
        <f t="shared" si="2"/>
        <v>1371560</v>
      </c>
      <c r="K15" s="18">
        <f t="shared" si="0"/>
        <v>70.114285714285714</v>
      </c>
      <c r="L15" s="19">
        <f>F15*100/F20</f>
        <v>10.296496296156436</v>
      </c>
    </row>
    <row r="16" spans="1:12" s="20" customFormat="1" ht="18" customHeight="1" x14ac:dyDescent="0.25">
      <c r="A16" s="21" t="s">
        <v>29</v>
      </c>
      <c r="B16" s="15">
        <v>250000</v>
      </c>
      <c r="C16" s="15">
        <v>435763</v>
      </c>
      <c r="D16" s="16">
        <v>86300</v>
      </c>
      <c r="E16" s="15">
        <v>0</v>
      </c>
      <c r="F16" s="15">
        <f>D16-E16</f>
        <v>86300</v>
      </c>
      <c r="G16" s="15">
        <v>3452</v>
      </c>
      <c r="H16" s="15">
        <v>15000</v>
      </c>
      <c r="I16" s="15">
        <v>0</v>
      </c>
      <c r="J16" s="15">
        <f t="shared" si="2"/>
        <v>503611</v>
      </c>
      <c r="K16" s="18">
        <f t="shared" si="0"/>
        <v>34.520000000000003</v>
      </c>
      <c r="L16" s="19">
        <f>F16*100/F20</f>
        <v>3.6209764888276301</v>
      </c>
    </row>
    <row r="17" spans="1:12" s="20" customFormat="1" ht="18" customHeight="1" x14ac:dyDescent="0.25">
      <c r="A17" s="13" t="s">
        <v>28</v>
      </c>
      <c r="B17" s="15">
        <v>250000</v>
      </c>
      <c r="C17" s="15">
        <v>79152</v>
      </c>
      <c r="D17" s="16">
        <v>97375</v>
      </c>
      <c r="E17" s="15">
        <v>0</v>
      </c>
      <c r="F17" s="15">
        <f>D17-E17</f>
        <v>97375</v>
      </c>
      <c r="G17" s="15">
        <v>3922</v>
      </c>
      <c r="H17" s="15">
        <v>33850</v>
      </c>
      <c r="I17" s="17">
        <v>0</v>
      </c>
      <c r="J17" s="15">
        <f t="shared" si="2"/>
        <v>138755</v>
      </c>
      <c r="K17" s="18">
        <f t="shared" si="0"/>
        <v>38.950000000000003</v>
      </c>
      <c r="L17" s="19">
        <f>F17*100/F20</f>
        <v>4.0856614785584062</v>
      </c>
    </row>
    <row r="18" spans="1:12" s="20" customFormat="1" ht="18" customHeight="1" x14ac:dyDescent="0.25">
      <c r="A18" s="13" t="s">
        <v>30</v>
      </c>
      <c r="B18" s="14">
        <v>250000</v>
      </c>
      <c r="C18" s="15">
        <v>2663120</v>
      </c>
      <c r="D18" s="16">
        <v>318230</v>
      </c>
      <c r="E18" s="15">
        <v>14650</v>
      </c>
      <c r="F18" s="15">
        <f t="shared" si="1"/>
        <v>303580</v>
      </c>
      <c r="G18" s="15">
        <v>10212</v>
      </c>
      <c r="H18" s="15">
        <v>105330</v>
      </c>
      <c r="I18" s="17">
        <v>0</v>
      </c>
      <c r="J18" s="15">
        <f t="shared" si="2"/>
        <v>2851158</v>
      </c>
      <c r="K18" s="18">
        <f t="shared" si="0"/>
        <v>121.432</v>
      </c>
      <c r="L18" s="19">
        <f>F18*100/F20</f>
        <v>12.737613470200371</v>
      </c>
    </row>
    <row r="19" spans="1:12" s="20" customFormat="1" ht="18" customHeight="1" x14ac:dyDescent="0.25">
      <c r="A19" s="13" t="s">
        <v>31</v>
      </c>
      <c r="B19" s="14">
        <v>250000</v>
      </c>
      <c r="C19" s="15">
        <v>394034</v>
      </c>
      <c r="D19" s="16">
        <v>231450</v>
      </c>
      <c r="E19" s="15">
        <v>0</v>
      </c>
      <c r="F19" s="15">
        <f t="shared" si="1"/>
        <v>231450</v>
      </c>
      <c r="G19" s="15">
        <v>10200</v>
      </c>
      <c r="H19" s="15">
        <v>34500</v>
      </c>
      <c r="I19" s="15">
        <v>0</v>
      </c>
      <c r="J19" s="15">
        <f t="shared" si="2"/>
        <v>580784</v>
      </c>
      <c r="K19" s="18">
        <f t="shared" si="0"/>
        <v>92.58</v>
      </c>
      <c r="L19" s="19">
        <f>F19*100/F20</f>
        <v>9.7111820201524335</v>
      </c>
    </row>
    <row r="20" spans="1:12" s="20" customFormat="1" ht="18" customHeight="1" x14ac:dyDescent="0.25">
      <c r="A20" s="23" t="s">
        <v>15</v>
      </c>
      <c r="B20" s="23">
        <f>SUM(B7:B19)</f>
        <v>3925000</v>
      </c>
      <c r="C20" s="23"/>
      <c r="D20" s="24">
        <f t="shared" ref="D20:I20" si="3">SUM(D7:D19)</f>
        <v>2405445</v>
      </c>
      <c r="E20" s="24">
        <f>SUM(E7:E19)</f>
        <v>22110</v>
      </c>
      <c r="F20" s="23">
        <f t="shared" si="3"/>
        <v>2383335</v>
      </c>
      <c r="G20" s="23">
        <f t="shared" si="3"/>
        <v>68548</v>
      </c>
      <c r="H20" s="23">
        <f t="shared" si="3"/>
        <v>1141870</v>
      </c>
      <c r="I20" s="23">
        <f t="shared" si="3"/>
        <v>0</v>
      </c>
      <c r="J20" s="23"/>
      <c r="K20" s="25">
        <f>F20*100/B20</f>
        <v>60.721910828025479</v>
      </c>
      <c r="L20" s="19"/>
    </row>
    <row r="21" spans="1:12" s="20" customFormat="1" ht="18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8"/>
      <c r="L21" s="28"/>
    </row>
    <row r="22" spans="1:12" s="20" customFormat="1" ht="18" customHeigh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1"/>
      <c r="K22" s="32"/>
      <c r="L22" s="30"/>
    </row>
    <row r="23" spans="1:12" x14ac:dyDescent="0.25">
      <c r="J23" s="12"/>
    </row>
    <row r="24" spans="1:12" x14ac:dyDescent="0.25">
      <c r="A24" t="s">
        <v>16</v>
      </c>
      <c r="F24" t="s">
        <v>17</v>
      </c>
      <c r="J24" s="12"/>
      <c r="K24" t="s">
        <v>23</v>
      </c>
    </row>
    <row r="25" spans="1:12" x14ac:dyDescent="0.25">
      <c r="J25" s="12"/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2026-04-26T07:51:21Z</dcterms:modified>
</cp:coreProperties>
</file>