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Wintech Agro Bangladesh\Sales Info. Wintech\Sales-2025\Sales-2025\Total Yearly Sales &amp; Dues Sammary\"/>
    </mc:Choice>
  </mc:AlternateContent>
  <xr:revisionPtr revIDLastSave="0" documentId="13_ncr:1_{61BA63D9-DD81-4628-AAE4-2935C9AEB1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AB 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K16" i="1" s="1"/>
  <c r="J16" i="1"/>
  <c r="B20" i="1" l="1"/>
  <c r="F13" i="1" l="1"/>
  <c r="I20" i="1" l="1"/>
  <c r="H20" i="1"/>
  <c r="G20" i="1" l="1"/>
  <c r="J15" i="1"/>
  <c r="J7" i="1"/>
  <c r="F7" i="1"/>
  <c r="J9" i="1"/>
  <c r="J10" i="1"/>
  <c r="J11" i="1"/>
  <c r="J12" i="1"/>
  <c r="J13" i="1"/>
  <c r="J14" i="1"/>
  <c r="J17" i="1"/>
  <c r="J18" i="1"/>
  <c r="J19" i="1"/>
  <c r="D20" i="1"/>
  <c r="C20" i="1"/>
  <c r="F8" i="1"/>
  <c r="K8" i="1" s="1"/>
  <c r="F9" i="1"/>
  <c r="K9" i="1" s="1"/>
  <c r="F10" i="1"/>
  <c r="K10" i="1" s="1"/>
  <c r="F11" i="1"/>
  <c r="K11" i="1" s="1"/>
  <c r="F12" i="1"/>
  <c r="K12" i="1" s="1"/>
  <c r="K13" i="1"/>
  <c r="F14" i="1"/>
  <c r="K14" i="1" s="1"/>
  <c r="F15" i="1"/>
  <c r="K15" i="1" s="1"/>
  <c r="F17" i="1"/>
  <c r="K17" i="1" s="1"/>
  <c r="F18" i="1"/>
  <c r="K18" i="1" s="1"/>
  <c r="F19" i="1"/>
  <c r="F20" i="1" l="1"/>
  <c r="K20" i="1" s="1"/>
  <c r="K7" i="1"/>
  <c r="E20" i="1"/>
  <c r="J8" i="1" l="1"/>
  <c r="J20" i="1" s="1"/>
</calcChain>
</file>

<file path=xl/sharedStrings.xml><?xml version="1.0" encoding="utf-8"?>
<sst xmlns="http://schemas.openxmlformats.org/spreadsheetml/2006/main" count="38" uniqueCount="37">
  <si>
    <t>WINTECH AGRO BANGLADESH</t>
  </si>
  <si>
    <t>Target</t>
  </si>
  <si>
    <t>Rtd. Goods</t>
  </si>
  <si>
    <t>Net Sales</t>
  </si>
  <si>
    <t>Commission</t>
  </si>
  <si>
    <t>Collection</t>
  </si>
  <si>
    <t>Bad Debt</t>
  </si>
  <si>
    <t>Sales (%)</t>
  </si>
  <si>
    <t>Achievement(%)</t>
  </si>
  <si>
    <t>(Zonewise)</t>
  </si>
  <si>
    <t>Total-</t>
  </si>
  <si>
    <t xml:space="preserve"> Accounts Dept.</t>
  </si>
  <si>
    <t xml:space="preserve"> Checked by</t>
  </si>
  <si>
    <t>Manager Sales</t>
  </si>
  <si>
    <t>Month of Jan- Dec'25</t>
  </si>
  <si>
    <t xml:space="preserve">Month </t>
  </si>
  <si>
    <t xml:space="preserve">Name </t>
  </si>
  <si>
    <t xml:space="preserve">Total </t>
  </si>
  <si>
    <t xml:space="preserve">Target </t>
  </si>
  <si>
    <t xml:space="preserve">Previous </t>
  </si>
  <si>
    <t xml:space="preserve">Dues </t>
  </si>
  <si>
    <t>Total</t>
  </si>
  <si>
    <t xml:space="preserve"> Sales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</si>
  <si>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</si>
  <si>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</si>
  <si>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</si>
  <si>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</si>
  <si>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</si>
  <si>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</si>
  <si>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</si>
  <si>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</si>
  <si>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</si>
  <si>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</si>
  <si>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</si>
  <si>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</si>
  <si>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Tatal </t>
  </si>
  <si>
    <t>Yearly Sales Summary of The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</si>
</sst>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22"/>
      <name val="Arial"/>
      <family val="2"/>
    </font>
    <font>
      <u/>
      <sz val="18"/>
      <name val="Arial"/>
      <family val="2"/>
    </font>
    <font>
      <b/>
      <u/>
      <sz val="16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43" fontId="3" fillId="0" borderId="0" xfId="1" applyFont="1" applyBorder="1"/>
    <xf numFmtId="43" fontId="2" fillId="0" borderId="0" xfId="1" applyFont="1" applyBorder="1"/>
    <xf numFmtId="2" fontId="3" fillId="0" borderId="0" xfId="0" applyNumberFormat="1" applyFont="1"/>
    <xf numFmtId="43" fontId="3" fillId="0" borderId="0" xfId="1" applyFont="1" applyFill="1" applyBorder="1"/>
    <xf numFmtId="43" fontId="2" fillId="0" borderId="0" xfId="1" applyFont="1"/>
    <xf numFmtId="43" fontId="2" fillId="0" borderId="0" xfId="0" applyNumberFormat="1" applyFont="1"/>
    <xf numFmtId="43" fontId="2" fillId="0" borderId="5" xfId="0" applyNumberFormat="1" applyFont="1" applyBorder="1" applyAlignment="1">
      <alignment horizontal="center" vertical="center"/>
    </xf>
    <xf numFmtId="43" fontId="8" fillId="0" borderId="1" xfId="1" applyFont="1" applyBorder="1" applyAlignment="1">
      <alignment horizontal="center" vertical="center"/>
    </xf>
    <xf numFmtId="43" fontId="8" fillId="0" borderId="2" xfId="1" applyFont="1" applyBorder="1" applyAlignment="1">
      <alignment horizontal="center" vertical="center"/>
    </xf>
    <xf numFmtId="43" fontId="8" fillId="0" borderId="3" xfId="1" applyFont="1" applyBorder="1" applyAlignment="1">
      <alignment horizontal="center" vertical="center"/>
    </xf>
    <xf numFmtId="43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0" xfId="0" applyFont="1"/>
    <xf numFmtId="43" fontId="8" fillId="0" borderId="4" xfId="1" applyFont="1" applyBorder="1" applyAlignment="1">
      <alignment horizontal="center" vertical="center"/>
    </xf>
    <xf numFmtId="43" fontId="8" fillId="0" borderId="5" xfId="1" applyFont="1" applyBorder="1" applyAlignment="1">
      <alignment horizontal="center" vertical="center"/>
    </xf>
    <xf numFmtId="43" fontId="8" fillId="0" borderId="6" xfId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3" fontId="10" fillId="2" borderId="2" xfId="1" applyFont="1" applyFill="1" applyBorder="1" applyAlignment="1">
      <alignment vertical="center"/>
    </xf>
    <xf numFmtId="43" fontId="10" fillId="0" borderId="2" xfId="1" applyFont="1" applyBorder="1" applyAlignment="1">
      <alignment vertical="center"/>
    </xf>
    <xf numFmtId="43" fontId="10" fillId="0" borderId="7" xfId="1" applyFont="1" applyBorder="1" applyAlignment="1">
      <alignment vertical="center"/>
    </xf>
    <xf numFmtId="43" fontId="10" fillId="0" borderId="8" xfId="1" applyFont="1" applyBorder="1" applyAlignment="1">
      <alignment vertical="center"/>
    </xf>
    <xf numFmtId="43" fontId="10" fillId="0" borderId="9" xfId="1" applyFont="1" applyBorder="1" applyAlignment="1">
      <alignment vertical="center"/>
    </xf>
    <xf numFmtId="2" fontId="10" fillId="0" borderId="8" xfId="0" applyNumberFormat="1" applyFont="1" applyBorder="1" applyAlignment="1">
      <alignment horizontal="center" vertical="center"/>
    </xf>
    <xf numFmtId="2" fontId="10" fillId="0" borderId="7" xfId="0" applyNumberFormat="1" applyFont="1" applyBorder="1" applyAlignment="1">
      <alignment vertical="center"/>
    </xf>
    <xf numFmtId="0" fontId="11" fillId="0" borderId="0" xfId="0" applyFont="1"/>
    <xf numFmtId="43" fontId="10" fillId="0" borderId="7" xfId="1" applyFont="1" applyFill="1" applyBorder="1" applyAlignment="1">
      <alignment vertical="center"/>
    </xf>
    <xf numFmtId="2" fontId="10" fillId="0" borderId="7" xfId="0" applyNumberFormat="1" applyFont="1" applyBorder="1" applyAlignment="1">
      <alignment horizontal="center" vertical="center"/>
    </xf>
    <xf numFmtId="43" fontId="11" fillId="0" borderId="0" xfId="0" applyNumberFormat="1" applyFont="1"/>
    <xf numFmtId="43" fontId="12" fillId="0" borderId="7" xfId="1" applyFont="1" applyBorder="1" applyAlignment="1">
      <alignment vertical="center"/>
    </xf>
    <xf numFmtId="43" fontId="12" fillId="0" borderId="8" xfId="1" applyFont="1" applyBorder="1" applyAlignment="1">
      <alignment vertical="center"/>
    </xf>
    <xf numFmtId="2" fontId="12" fillId="0" borderId="7" xfId="0" applyNumberFormat="1" applyFont="1" applyBorder="1" applyAlignment="1">
      <alignment horizontal="center" vertical="center"/>
    </xf>
    <xf numFmtId="2" fontId="12" fillId="0" borderId="7" xfId="0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3" fontId="8" fillId="0" borderId="2" xfId="1" applyFont="1" applyBorder="1" applyAlignment="1">
      <alignment horizontal="center" vertical="center"/>
    </xf>
    <xf numFmtId="43" fontId="8" fillId="0" borderId="5" xfId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zoomScaleNormal="100" workbookViewId="0">
      <selection activeCell="N7" sqref="N7"/>
    </sheetView>
  </sheetViews>
  <sheetFormatPr defaultRowHeight="15" x14ac:dyDescent="0.25"/>
  <cols>
    <col min="1" max="1" width="10.140625" customWidth="1"/>
    <col min="2" max="2" width="14" bestFit="1" customWidth="1"/>
    <col min="3" max="3" width="16" customWidth="1"/>
    <col min="4" max="4" width="14" bestFit="1" customWidth="1"/>
    <col min="5" max="5" width="12.85546875" bestFit="1" customWidth="1"/>
    <col min="6" max="6" width="14" bestFit="1" customWidth="1"/>
    <col min="7" max="7" width="12.85546875" bestFit="1" customWidth="1"/>
    <col min="8" max="8" width="14" bestFit="1" customWidth="1"/>
    <col min="9" max="9" width="11.28515625" bestFit="1" customWidth="1"/>
    <col min="10" max="10" width="15" bestFit="1" customWidth="1"/>
    <col min="11" max="11" width="14.7109375" customWidth="1"/>
    <col min="12" max="12" width="10" customWidth="1"/>
    <col min="14" max="14" width="13.5703125" customWidth="1"/>
  </cols>
  <sheetData>
    <row r="1" spans="1:12" ht="27" x14ac:dyDescent="0.3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3.25" x14ac:dyDescent="0.35">
      <c r="A2" s="35" t="s">
        <v>36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20.25" x14ac:dyDescent="0.3">
      <c r="A3" s="36" t="s">
        <v>14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s="14" customFormat="1" ht="15" customHeight="1" x14ac:dyDescent="0.2">
      <c r="A5" s="9" t="s">
        <v>15</v>
      </c>
      <c r="B5" s="10" t="s">
        <v>17</v>
      </c>
      <c r="C5" s="11" t="s">
        <v>19</v>
      </c>
      <c r="D5" s="10" t="s">
        <v>21</v>
      </c>
      <c r="E5" s="37" t="s">
        <v>2</v>
      </c>
      <c r="F5" s="37" t="s">
        <v>3</v>
      </c>
      <c r="G5" s="37" t="s">
        <v>4</v>
      </c>
      <c r="H5" s="37" t="s">
        <v>5</v>
      </c>
      <c r="I5" s="37" t="s">
        <v>6</v>
      </c>
      <c r="J5" s="11" t="s">
        <v>35</v>
      </c>
      <c r="K5" s="12" t="s">
        <v>1</v>
      </c>
      <c r="L5" s="13" t="s">
        <v>7</v>
      </c>
    </row>
    <row r="6" spans="1:12" s="14" customFormat="1" ht="15" customHeight="1" x14ac:dyDescent="0.2">
      <c r="A6" s="15" t="s">
        <v>16</v>
      </c>
      <c r="B6" s="16" t="s">
        <v>18</v>
      </c>
      <c r="C6" s="17" t="s">
        <v>20</v>
      </c>
      <c r="D6" s="16" t="s">
        <v>22</v>
      </c>
      <c r="E6" s="38"/>
      <c r="F6" s="38"/>
      <c r="G6" s="38"/>
      <c r="H6" s="38"/>
      <c r="I6" s="38"/>
      <c r="J6" s="17" t="s">
        <v>20</v>
      </c>
      <c r="K6" s="8" t="s">
        <v>8</v>
      </c>
      <c r="L6" s="18" t="s">
        <v>9</v>
      </c>
    </row>
    <row r="7" spans="1:12" s="26" customFormat="1" ht="19.5" customHeight="1" x14ac:dyDescent="0.2">
      <c r="A7" s="19" t="s">
        <v>23</v>
      </c>
      <c r="B7" s="20">
        <v>2550000</v>
      </c>
      <c r="C7" s="21">
        <v>7164915</v>
      </c>
      <c r="D7" s="22">
        <v>1914060</v>
      </c>
      <c r="E7" s="21">
        <v>2900</v>
      </c>
      <c r="F7" s="21">
        <f>D7-E7</f>
        <v>1911160</v>
      </c>
      <c r="G7" s="21">
        <v>231280</v>
      </c>
      <c r="H7" s="21">
        <v>1436836</v>
      </c>
      <c r="I7" s="23">
        <v>0</v>
      </c>
      <c r="J7" s="21">
        <f>C7+D7-E7-G7-H7-I7</f>
        <v>7407959</v>
      </c>
      <c r="K7" s="24">
        <f>F7*100/B7</f>
        <v>74.947450980392162</v>
      </c>
      <c r="L7" s="25"/>
    </row>
    <row r="8" spans="1:12" s="26" customFormat="1" ht="19.5" customHeight="1" x14ac:dyDescent="0.2">
      <c r="A8" s="19" t="s">
        <v>24</v>
      </c>
      <c r="B8" s="21">
        <v>2950000</v>
      </c>
      <c r="C8" s="21">
        <v>7322604</v>
      </c>
      <c r="D8" s="22">
        <v>2076450</v>
      </c>
      <c r="E8" s="27">
        <v>6750</v>
      </c>
      <c r="F8" s="21">
        <f t="shared" ref="F8:F19" si="0">D8-E8</f>
        <v>2069700</v>
      </c>
      <c r="G8" s="21">
        <v>196217</v>
      </c>
      <c r="H8" s="21">
        <v>1885747</v>
      </c>
      <c r="I8" s="21">
        <v>142080</v>
      </c>
      <c r="J8" s="21">
        <f t="shared" ref="J8:J19" si="1">C8+D8-E8-G8-H8-I8</f>
        <v>7168260</v>
      </c>
      <c r="K8" s="28">
        <f>F8*100/B8</f>
        <v>70.159322033898306</v>
      </c>
      <c r="L8" s="25"/>
    </row>
    <row r="9" spans="1:12" s="26" customFormat="1" ht="19.5" customHeight="1" x14ac:dyDescent="0.2">
      <c r="A9" s="19" t="s">
        <v>25</v>
      </c>
      <c r="B9" s="21">
        <v>2950000</v>
      </c>
      <c r="C9" s="21">
        <v>7168259</v>
      </c>
      <c r="D9" s="22">
        <v>2433300</v>
      </c>
      <c r="E9" s="27">
        <v>101395</v>
      </c>
      <c r="F9" s="21">
        <f t="shared" si="0"/>
        <v>2331905</v>
      </c>
      <c r="G9" s="21">
        <v>88586</v>
      </c>
      <c r="H9" s="21">
        <v>1792831</v>
      </c>
      <c r="I9" s="21">
        <v>0</v>
      </c>
      <c r="J9" s="21">
        <f t="shared" si="1"/>
        <v>7618747</v>
      </c>
      <c r="K9" s="28">
        <f>F9*100/B9</f>
        <v>79.047627118644073</v>
      </c>
      <c r="L9" s="25"/>
    </row>
    <row r="10" spans="1:12" s="26" customFormat="1" ht="19.5" customHeight="1" x14ac:dyDescent="0.2">
      <c r="A10" s="19" t="s">
        <v>26</v>
      </c>
      <c r="B10" s="21">
        <v>3200000</v>
      </c>
      <c r="C10" s="21">
        <v>7617432</v>
      </c>
      <c r="D10" s="22">
        <v>2154349</v>
      </c>
      <c r="E10" s="21">
        <v>71750</v>
      </c>
      <c r="F10" s="21">
        <f t="shared" si="0"/>
        <v>2082599</v>
      </c>
      <c r="G10" s="21">
        <v>75157</v>
      </c>
      <c r="H10" s="21">
        <v>1436771</v>
      </c>
      <c r="I10" s="21">
        <v>0</v>
      </c>
      <c r="J10" s="21">
        <f t="shared" si="1"/>
        <v>8188103</v>
      </c>
      <c r="K10" s="28">
        <f>F10*100/B10</f>
        <v>65.081218750000005</v>
      </c>
      <c r="L10" s="25"/>
    </row>
    <row r="11" spans="1:12" s="26" customFormat="1" ht="19.5" customHeight="1" x14ac:dyDescent="0.2">
      <c r="A11" s="19" t="s">
        <v>27</v>
      </c>
      <c r="B11" s="20">
        <v>4000000</v>
      </c>
      <c r="C11" s="21">
        <v>8188103</v>
      </c>
      <c r="D11" s="22">
        <v>2090447</v>
      </c>
      <c r="E11" s="21">
        <v>171868</v>
      </c>
      <c r="F11" s="21">
        <f t="shared" si="0"/>
        <v>1918579</v>
      </c>
      <c r="G11" s="21">
        <v>122371</v>
      </c>
      <c r="H11" s="21">
        <v>1483250</v>
      </c>
      <c r="I11" s="21">
        <v>0</v>
      </c>
      <c r="J11" s="21">
        <f t="shared" si="1"/>
        <v>8501061</v>
      </c>
      <c r="K11" s="28">
        <f t="shared" ref="K11:K18" si="2">F11*100/B11</f>
        <v>47.964475</v>
      </c>
      <c r="L11" s="25"/>
    </row>
    <row r="12" spans="1:12" s="26" customFormat="1" ht="19.5" customHeight="1" x14ac:dyDescent="0.2">
      <c r="A12" s="19" t="s">
        <v>28</v>
      </c>
      <c r="B12" s="21">
        <v>4000000</v>
      </c>
      <c r="C12" s="21">
        <v>8501061</v>
      </c>
      <c r="D12" s="22">
        <v>2204106</v>
      </c>
      <c r="E12" s="21">
        <v>28329</v>
      </c>
      <c r="F12" s="21">
        <f t="shared" si="0"/>
        <v>2175777</v>
      </c>
      <c r="G12" s="21">
        <v>61669</v>
      </c>
      <c r="H12" s="21">
        <v>1151884</v>
      </c>
      <c r="I12" s="21">
        <v>0</v>
      </c>
      <c r="J12" s="21">
        <f t="shared" si="1"/>
        <v>9463285</v>
      </c>
      <c r="K12" s="28">
        <f t="shared" si="2"/>
        <v>54.394424999999998</v>
      </c>
      <c r="L12" s="25"/>
    </row>
    <row r="13" spans="1:12" s="26" customFormat="1" ht="19.5" customHeight="1" x14ac:dyDescent="0.2">
      <c r="A13" s="19" t="s">
        <v>29</v>
      </c>
      <c r="B13" s="21">
        <v>4650000</v>
      </c>
      <c r="C13" s="21">
        <v>9467685</v>
      </c>
      <c r="D13" s="22">
        <v>2594821</v>
      </c>
      <c r="E13" s="21">
        <v>27044</v>
      </c>
      <c r="F13" s="21">
        <f>D13-E13</f>
        <v>2567777</v>
      </c>
      <c r="G13" s="21">
        <v>65518</v>
      </c>
      <c r="H13" s="21">
        <v>1583438</v>
      </c>
      <c r="I13" s="21">
        <v>0</v>
      </c>
      <c r="J13" s="21">
        <f t="shared" si="1"/>
        <v>10386506</v>
      </c>
      <c r="K13" s="28">
        <f t="shared" si="2"/>
        <v>55.221010752688173</v>
      </c>
      <c r="L13" s="25"/>
    </row>
    <row r="14" spans="1:12" s="26" customFormat="1" ht="19.5" customHeight="1" x14ac:dyDescent="0.2">
      <c r="A14" s="19" t="s">
        <v>30</v>
      </c>
      <c r="B14" s="20">
        <v>4650000</v>
      </c>
      <c r="C14" s="21">
        <v>10386506</v>
      </c>
      <c r="D14" s="22">
        <v>3104297</v>
      </c>
      <c r="E14" s="21">
        <v>77119</v>
      </c>
      <c r="F14" s="21">
        <f t="shared" si="0"/>
        <v>3027178</v>
      </c>
      <c r="G14" s="21">
        <v>51274</v>
      </c>
      <c r="H14" s="21">
        <v>1870952</v>
      </c>
      <c r="I14" s="23">
        <v>0</v>
      </c>
      <c r="J14" s="21">
        <f t="shared" si="1"/>
        <v>11491458</v>
      </c>
      <c r="K14" s="28">
        <f t="shared" si="2"/>
        <v>65.10060215053764</v>
      </c>
      <c r="L14" s="25"/>
    </row>
    <row r="15" spans="1:12" s="26" customFormat="1" ht="19.5" customHeight="1" x14ac:dyDescent="0.2">
      <c r="A15" s="19" t="s">
        <v>31</v>
      </c>
      <c r="B15" s="20">
        <v>4400000</v>
      </c>
      <c r="C15" s="21">
        <v>11469603</v>
      </c>
      <c r="D15" s="22">
        <v>4033582</v>
      </c>
      <c r="E15" s="21">
        <v>101790</v>
      </c>
      <c r="F15" s="21">
        <f t="shared" si="0"/>
        <v>3931792</v>
      </c>
      <c r="G15" s="21">
        <v>357183</v>
      </c>
      <c r="H15" s="21">
        <v>1737519</v>
      </c>
      <c r="I15" s="21">
        <v>0</v>
      </c>
      <c r="J15" s="21">
        <f t="shared" si="1"/>
        <v>13306693</v>
      </c>
      <c r="K15" s="28">
        <f t="shared" si="2"/>
        <v>89.358909090909094</v>
      </c>
      <c r="L15" s="25"/>
    </row>
    <row r="16" spans="1:12" s="26" customFormat="1" ht="19.5" customHeight="1" x14ac:dyDescent="0.2">
      <c r="A16" s="19" t="s">
        <v>32</v>
      </c>
      <c r="B16" s="20">
        <v>4700000</v>
      </c>
      <c r="C16" s="21">
        <v>12835739</v>
      </c>
      <c r="D16" s="22">
        <v>2258235</v>
      </c>
      <c r="E16" s="21">
        <v>512334</v>
      </c>
      <c r="F16" s="21">
        <f t="shared" si="0"/>
        <v>1745901</v>
      </c>
      <c r="G16" s="21">
        <v>147119</v>
      </c>
      <c r="H16" s="21">
        <v>1574310</v>
      </c>
      <c r="I16" s="21">
        <v>0</v>
      </c>
      <c r="J16" s="21">
        <f t="shared" si="1"/>
        <v>12860211</v>
      </c>
      <c r="K16" s="28">
        <f t="shared" si="2"/>
        <v>37.14682978723404</v>
      </c>
      <c r="L16" s="25"/>
    </row>
    <row r="17" spans="1:14" s="26" customFormat="1" ht="19.5" customHeight="1" x14ac:dyDescent="0.2">
      <c r="A17" s="19" t="s">
        <v>33</v>
      </c>
      <c r="B17" s="20">
        <v>4500000</v>
      </c>
      <c r="C17" s="21">
        <v>13411120</v>
      </c>
      <c r="D17" s="22">
        <v>1488570</v>
      </c>
      <c r="E17" s="21">
        <v>114145</v>
      </c>
      <c r="F17" s="21">
        <f t="shared" si="0"/>
        <v>1374425</v>
      </c>
      <c r="G17" s="21">
        <v>261019</v>
      </c>
      <c r="H17" s="21">
        <v>1639798</v>
      </c>
      <c r="I17" s="21">
        <v>0</v>
      </c>
      <c r="J17" s="21">
        <f t="shared" si="1"/>
        <v>12884728</v>
      </c>
      <c r="K17" s="28">
        <f t="shared" si="2"/>
        <v>30.542777777777779</v>
      </c>
      <c r="L17" s="25"/>
    </row>
    <row r="18" spans="1:14" s="26" customFormat="1" ht="19.5" customHeight="1" x14ac:dyDescent="0.2">
      <c r="A18" s="19" t="s">
        <v>34</v>
      </c>
      <c r="B18" s="20">
        <v>4500000</v>
      </c>
      <c r="C18" s="21">
        <v>12784729</v>
      </c>
      <c r="D18" s="22">
        <v>657220</v>
      </c>
      <c r="E18" s="21">
        <v>62540</v>
      </c>
      <c r="F18" s="21">
        <f t="shared" si="0"/>
        <v>594680</v>
      </c>
      <c r="G18" s="21">
        <v>295694</v>
      </c>
      <c r="H18" s="21">
        <v>2245364</v>
      </c>
      <c r="I18" s="21">
        <v>66220</v>
      </c>
      <c r="J18" s="21">
        <f t="shared" si="1"/>
        <v>10772131</v>
      </c>
      <c r="K18" s="28">
        <f t="shared" si="2"/>
        <v>13.215111111111112</v>
      </c>
      <c r="L18" s="25"/>
    </row>
    <row r="19" spans="1:14" s="26" customFormat="1" ht="19.5" customHeight="1" x14ac:dyDescent="0.2">
      <c r="A19" s="20"/>
      <c r="B19" s="20"/>
      <c r="C19" s="21"/>
      <c r="D19" s="22"/>
      <c r="E19" s="21"/>
      <c r="F19" s="21">
        <f t="shared" si="0"/>
        <v>0</v>
      </c>
      <c r="G19" s="21"/>
      <c r="H19" s="21"/>
      <c r="I19" s="21"/>
      <c r="J19" s="21">
        <f t="shared" si="1"/>
        <v>0</v>
      </c>
      <c r="K19" s="28"/>
      <c r="L19" s="25"/>
      <c r="N19" s="29"/>
    </row>
    <row r="20" spans="1:14" s="14" customFormat="1" ht="19.5" customHeight="1" x14ac:dyDescent="0.2">
      <c r="A20" s="30" t="s">
        <v>10</v>
      </c>
      <c r="B20" s="30">
        <f t="shared" ref="B20:J20" si="3">SUM(B7:B19)</f>
        <v>47050000</v>
      </c>
      <c r="C20" s="30">
        <f t="shared" si="3"/>
        <v>116317756</v>
      </c>
      <c r="D20" s="31">
        <f t="shared" si="3"/>
        <v>27009437</v>
      </c>
      <c r="E20" s="30">
        <f t="shared" si="3"/>
        <v>1277964</v>
      </c>
      <c r="F20" s="30">
        <f t="shared" si="3"/>
        <v>25731473</v>
      </c>
      <c r="G20" s="30">
        <f t="shared" si="3"/>
        <v>1953087</v>
      </c>
      <c r="H20" s="30">
        <f t="shared" si="3"/>
        <v>19838700</v>
      </c>
      <c r="I20" s="30">
        <f t="shared" si="3"/>
        <v>208300</v>
      </c>
      <c r="J20" s="30">
        <f t="shared" si="3"/>
        <v>120049142</v>
      </c>
      <c r="K20" s="32">
        <f>F20*100/B20</f>
        <v>54.6896344314559</v>
      </c>
      <c r="L20" s="33"/>
    </row>
    <row r="21" spans="1:14" x14ac:dyDescent="0.25">
      <c r="A21" s="2"/>
      <c r="B21" s="2"/>
      <c r="C21" s="2"/>
      <c r="D21" s="2"/>
      <c r="E21" s="2"/>
      <c r="F21" s="2"/>
      <c r="G21" s="2"/>
      <c r="H21" s="2"/>
      <c r="I21" s="2"/>
      <c r="J21" s="3"/>
      <c r="K21" s="4"/>
      <c r="L21" s="4"/>
    </row>
    <row r="22" spans="1:14" x14ac:dyDescent="0.25">
      <c r="A22" s="2"/>
      <c r="B22" s="2"/>
      <c r="C22" s="2"/>
      <c r="D22" s="2"/>
      <c r="E22" s="2"/>
      <c r="F22" s="2"/>
      <c r="G22" s="2"/>
      <c r="H22" s="2"/>
      <c r="I22" s="2"/>
      <c r="J22" s="3"/>
      <c r="K22" s="4"/>
      <c r="L22" s="4"/>
    </row>
    <row r="23" spans="1:14" ht="13.5" customHeight="1" x14ac:dyDescent="0.25">
      <c r="A23" s="5"/>
      <c r="B23" s="1"/>
      <c r="C23" s="1"/>
      <c r="D23" s="1"/>
      <c r="E23" s="1"/>
      <c r="F23" s="1"/>
      <c r="G23" s="1"/>
      <c r="H23" s="1"/>
      <c r="I23" s="1"/>
      <c r="J23" s="6"/>
      <c r="K23" s="7"/>
      <c r="L23" s="1"/>
    </row>
    <row r="24" spans="1:14" x14ac:dyDescent="0.25">
      <c r="J24" s="6"/>
    </row>
    <row r="25" spans="1:14" x14ac:dyDescent="0.25">
      <c r="A25" t="s">
        <v>11</v>
      </c>
      <c r="F25" t="s">
        <v>12</v>
      </c>
      <c r="J25" s="6"/>
      <c r="K25" t="s">
        <v>13</v>
      </c>
    </row>
    <row r="26" spans="1:14" x14ac:dyDescent="0.25">
      <c r="J26" s="6"/>
    </row>
  </sheetData>
  <mergeCells count="8">
    <mergeCell ref="A1:L1"/>
    <mergeCell ref="A2:L2"/>
    <mergeCell ref="A3:L3"/>
    <mergeCell ref="E5:E6"/>
    <mergeCell ref="F5:F6"/>
    <mergeCell ref="G5:G6"/>
    <mergeCell ref="H5:H6"/>
    <mergeCell ref="I5:I6"/>
  </mergeCells>
  <phoneticPr fontId="7" type="noConversion"/>
  <pageMargins left="0.2" right="0" top="0.74803149606299202" bottom="0.74803149606299202" header="0" footer="0.31496062992126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WAB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Sanaullah</dc:creator>
  <cp:lastModifiedBy>SM Sanaullah</cp:lastModifiedBy>
  <cp:lastPrinted>2025-11-01T06:00:44Z</cp:lastPrinted>
  <dcterms:created xsi:type="dcterms:W3CDTF">2015-06-05T18:17:20Z</dcterms:created>
  <dcterms:modified xsi:type="dcterms:W3CDTF">2026-01-31T07:08:33Z</dcterms:modified>
</cp:coreProperties>
</file>