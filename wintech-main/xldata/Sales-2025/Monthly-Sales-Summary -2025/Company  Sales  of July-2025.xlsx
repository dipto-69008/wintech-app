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CB369538-F4B6-4E82-A2E9-234AAA26E80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2" i="1" l="1"/>
  <c r="F8" i="1"/>
  <c r="F9" i="1"/>
  <c r="F10" i="1"/>
  <c r="F11" i="1"/>
  <c r="F12" i="1"/>
  <c r="F13" i="1"/>
  <c r="F14" i="1"/>
  <c r="F15" i="1"/>
  <c r="K15" i="1" s="1"/>
  <c r="F16" i="1"/>
  <c r="F17" i="1"/>
  <c r="F18" i="1"/>
  <c r="F19" i="1"/>
  <c r="F20" i="1"/>
  <c r="F21" i="1"/>
  <c r="F7" i="1"/>
  <c r="J15" i="1"/>
  <c r="J7" i="1"/>
  <c r="K9" i="1"/>
  <c r="K10" i="1"/>
  <c r="J10" i="1"/>
  <c r="K11" i="1"/>
  <c r="J11" i="1"/>
  <c r="J9" i="1"/>
  <c r="J8" i="1"/>
  <c r="J12" i="1"/>
  <c r="K12" i="1"/>
  <c r="K13" i="1"/>
  <c r="J13" i="1"/>
  <c r="J17" i="1"/>
  <c r="K17" i="1"/>
  <c r="D22" i="1" l="1"/>
  <c r="K14" i="1"/>
  <c r="J14" i="1"/>
  <c r="K8" i="1"/>
  <c r="K7" i="1"/>
  <c r="I22" i="1"/>
  <c r="H22" i="1"/>
  <c r="G22" i="1"/>
  <c r="E22" i="1"/>
  <c r="C22" i="1"/>
  <c r="B22" i="1"/>
  <c r="K19" i="1"/>
  <c r="J19" i="1"/>
  <c r="K18" i="1"/>
  <c r="J18" i="1"/>
  <c r="K16" i="1"/>
  <c r="J16" i="1"/>
  <c r="J22" i="1" l="1"/>
  <c r="K22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<sst xmlns="http://schemas.openxmlformats.org/spreadsheetml/2006/main" count="34" uniqueCount="33">
  <si>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</si>
  <si>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</si>
  <si>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</si>
  <si>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</si>
  <si>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</si>
  <si>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</si>
  <si>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</si>
  <si>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</si>
  <si>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</si>
  <si>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</si>
  <si>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</si>
  <si>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</si>
  <si>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</si>
  <si>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</si>
  <si>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</si>
  <si>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</si>
  <si>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</si>
  <si>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</si>
  <si>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</si>
  <si>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</si>
  <si>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</si>
  <si>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</si>
  <si>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</si>
  <si>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</si>
  <si>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</si>
  <si>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</si>
  <si>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Netrakona</t>
  </si>
  <si>
    <t>Fulbaria</t>
  </si>
  <si>
    <t>Muktagasa</t>
  </si>
  <si>
    <t>Bakra</t>
  </si>
  <si>
    <t>Jessore</t>
  </si>
  <si>
    <t>Month of July -2025</t>
  </si>
  <si>
    <t>Comilla-4H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</si>
</sst>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sz val="8"/>
      <color theme="1"/>
      <name val="Arial"/>
      <family val="2"/>
    </font>
    <font>
      <b/>
      <sz val="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0" borderId="2" xfId="1" applyFont="1" applyBorder="1"/>
    <xf numFmtId="43" fontId="7" fillId="2" borderId="2" xfId="1" applyFont="1" applyFill="1" applyBorder="1"/>
    <xf numFmtId="43" fontId="7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C4" workbookViewId="0">
      <selection activeCell="G22" sqref="G22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1.5703125" customWidth="1"/>
    <col min="15" max="15" width="17.140625" customWidth="1"/>
  </cols>
  <sheetData>
    <row r="1" spans="1:12" ht="20.25" x14ac:dyDescent="0.3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4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2" t="s">
        <v>23</v>
      </c>
      <c r="B7" s="19">
        <v>400000</v>
      </c>
      <c r="C7" s="13">
        <v>683039</v>
      </c>
      <c r="D7" s="14">
        <v>277505</v>
      </c>
      <c r="E7" s="13">
        <v>4720</v>
      </c>
      <c r="F7" s="13">
        <f>D7-E7</f>
        <v>272785</v>
      </c>
      <c r="G7" s="13">
        <v>1965</v>
      </c>
      <c r="H7" s="13">
        <v>223000</v>
      </c>
      <c r="I7" s="20"/>
      <c r="J7" s="13">
        <f>C7+D7-E7-G7-H7-I7</f>
        <v>730859</v>
      </c>
      <c r="K7" s="21">
        <f t="shared" ref="K7:K12" si="0">F7*100/B7</f>
        <v>68.196250000000006</v>
      </c>
      <c r="L7" s="15"/>
    </row>
    <row r="8" spans="1:12" x14ac:dyDescent="0.25">
      <c r="A8" s="33" t="s">
        <v>27</v>
      </c>
      <c r="B8" s="13">
        <v>200000</v>
      </c>
      <c r="C8" s="13">
        <v>460226</v>
      </c>
      <c r="D8" s="14">
        <v>113970</v>
      </c>
      <c r="E8" s="16"/>
      <c r="F8" s="13">
        <f t="shared" ref="F8:F21" si="1">D8-E8</f>
        <v>113970</v>
      </c>
      <c r="G8" s="13">
        <v>1500</v>
      </c>
      <c r="H8" s="13">
        <v>75745</v>
      </c>
      <c r="I8" s="13"/>
      <c r="J8" s="12">
        <f>C8+D8-E8-G8-H8-I8</f>
        <v>496951</v>
      </c>
      <c r="K8" s="17">
        <f t="shared" si="0"/>
        <v>56.984999999999999</v>
      </c>
      <c r="L8" s="15"/>
    </row>
    <row r="9" spans="1:12" x14ac:dyDescent="0.25">
      <c r="A9" s="33" t="s">
        <v>28</v>
      </c>
      <c r="B9" s="13">
        <v>350000</v>
      </c>
      <c r="C9" s="13">
        <v>831904</v>
      </c>
      <c r="D9" s="14">
        <v>146933</v>
      </c>
      <c r="E9" s="16"/>
      <c r="F9" s="13">
        <f t="shared" si="1"/>
        <v>146933</v>
      </c>
      <c r="G9" s="13">
        <v>1250</v>
      </c>
      <c r="H9" s="13">
        <v>138750</v>
      </c>
      <c r="I9" s="13"/>
      <c r="J9" s="12">
        <f>C9+D9-E9-G9-H9-I9</f>
        <v>838837</v>
      </c>
      <c r="K9" s="17">
        <f t="shared" si="0"/>
        <v>41.98085714285714</v>
      </c>
      <c r="L9" s="15"/>
    </row>
    <row r="10" spans="1:12" x14ac:dyDescent="0.25">
      <c r="A10" s="32" t="s">
        <v>26</v>
      </c>
      <c r="B10" s="19">
        <v>250000</v>
      </c>
      <c r="C10" s="13">
        <v>16275</v>
      </c>
      <c r="D10" s="14"/>
      <c r="E10" s="13"/>
      <c r="F10" s="13">
        <f t="shared" si="1"/>
        <v>0</v>
      </c>
      <c r="G10" s="13"/>
      <c r="H10" s="13"/>
      <c r="I10" s="13">
        <v>0</v>
      </c>
      <c r="J10" s="12">
        <f>C10+D10-E10-G10-H10</f>
        <v>16275</v>
      </c>
      <c r="K10" s="17">
        <f t="shared" si="0"/>
        <v>0</v>
      </c>
      <c r="L10" s="15"/>
    </row>
    <row r="11" spans="1:12" x14ac:dyDescent="0.25">
      <c r="A11" s="32" t="s">
        <v>24</v>
      </c>
      <c r="B11" s="19">
        <v>250000</v>
      </c>
      <c r="C11" s="13">
        <v>302652</v>
      </c>
      <c r="D11" s="14">
        <v>130150</v>
      </c>
      <c r="E11" s="13"/>
      <c r="F11" s="13">
        <f t="shared" si="1"/>
        <v>130150</v>
      </c>
      <c r="G11" s="13">
        <v>1382</v>
      </c>
      <c r="H11" s="13">
        <v>54632</v>
      </c>
      <c r="I11" s="13">
        <v>0</v>
      </c>
      <c r="J11" s="12">
        <f>C11+D11-E11-G11-H11</f>
        <v>376788</v>
      </c>
      <c r="K11" s="17">
        <f t="shared" si="0"/>
        <v>52.06</v>
      </c>
      <c r="L11" s="15"/>
    </row>
    <row r="12" spans="1:12" x14ac:dyDescent="0.25">
      <c r="A12" s="33" t="s">
        <v>14</v>
      </c>
      <c r="B12" s="13">
        <v>550000</v>
      </c>
      <c r="C12" s="13">
        <v>1913809</v>
      </c>
      <c r="D12" s="14">
        <v>501753</v>
      </c>
      <c r="E12" s="16">
        <v>4200</v>
      </c>
      <c r="F12" s="13">
        <f t="shared" si="1"/>
        <v>497553</v>
      </c>
      <c r="G12" s="13">
        <v>5178</v>
      </c>
      <c r="H12" s="13">
        <v>258600</v>
      </c>
      <c r="I12" s="13">
        <v>0</v>
      </c>
      <c r="J12" s="12">
        <f>C12+D12-E12-G12-H12</f>
        <v>2147584</v>
      </c>
      <c r="K12" s="17">
        <f t="shared" si="0"/>
        <v>90.464181818181814</v>
      </c>
      <c r="L12" s="15"/>
    </row>
    <row r="13" spans="1:12" x14ac:dyDescent="0.25">
      <c r="A13" s="33" t="s">
        <v>18</v>
      </c>
      <c r="B13" s="13">
        <v>400000</v>
      </c>
      <c r="C13" s="13">
        <v>1051180</v>
      </c>
      <c r="D13" s="14">
        <v>201355</v>
      </c>
      <c r="E13" s="13">
        <v>4200</v>
      </c>
      <c r="F13" s="13">
        <f t="shared" si="1"/>
        <v>197155</v>
      </c>
      <c r="G13" s="13">
        <v>2450</v>
      </c>
      <c r="H13" s="13">
        <v>138760</v>
      </c>
      <c r="I13" s="13">
        <v>0</v>
      </c>
      <c r="J13" s="13">
        <f t="shared" ref="J13" si="2">C13+D13-E13-G13-H13</f>
        <v>1107125</v>
      </c>
      <c r="K13" s="17">
        <f t="shared" ref="K13" si="3">(D13-E13)*100/B13</f>
        <v>49.28875</v>
      </c>
      <c r="L13" s="15"/>
    </row>
    <row r="14" spans="1:12" x14ac:dyDescent="0.25">
      <c r="A14" s="32" t="s">
        <v>22</v>
      </c>
      <c r="B14" s="19">
        <v>200000</v>
      </c>
      <c r="C14" s="13">
        <v>521554</v>
      </c>
      <c r="D14" s="14">
        <v>36390</v>
      </c>
      <c r="E14" s="13"/>
      <c r="F14" s="13">
        <f t="shared" si="1"/>
        <v>36390</v>
      </c>
      <c r="G14" s="13">
        <v>1385</v>
      </c>
      <c r="H14" s="13">
        <v>38800</v>
      </c>
      <c r="I14" s="13">
        <v>0</v>
      </c>
      <c r="J14" s="12">
        <f>C14+D14-E14-G14-H14</f>
        <v>517759</v>
      </c>
      <c r="K14" s="17">
        <f>F14*100/B14</f>
        <v>18.195</v>
      </c>
      <c r="L14" s="15"/>
    </row>
    <row r="15" spans="1:12" x14ac:dyDescent="0.25">
      <c r="A15" s="32" t="s">
        <v>32</v>
      </c>
      <c r="B15" s="19">
        <v>350000</v>
      </c>
      <c r="C15" s="13">
        <v>11920</v>
      </c>
      <c r="D15" s="14">
        <v>176645</v>
      </c>
      <c r="E15" s="13"/>
      <c r="F15" s="13">
        <f t="shared" si="1"/>
        <v>176645</v>
      </c>
      <c r="G15" s="13">
        <v>3915</v>
      </c>
      <c r="H15" s="13">
        <v>119280</v>
      </c>
      <c r="I15" s="13">
        <v>0</v>
      </c>
      <c r="J15" s="12">
        <f>C15+D15-E15-G15-H15</f>
        <v>65370</v>
      </c>
      <c r="K15" s="17">
        <f>F15*100/B15</f>
        <v>50.47</v>
      </c>
      <c r="L15" s="15"/>
    </row>
    <row r="16" spans="1:12" x14ac:dyDescent="0.25">
      <c r="A16" s="33" t="s">
        <v>21</v>
      </c>
      <c r="B16" s="13">
        <v>350000</v>
      </c>
      <c r="C16" s="13">
        <v>1286530</v>
      </c>
      <c r="D16" s="14">
        <v>342570</v>
      </c>
      <c r="E16" s="13"/>
      <c r="F16" s="13">
        <f t="shared" si="1"/>
        <v>342570</v>
      </c>
      <c r="G16" s="13">
        <v>23979</v>
      </c>
      <c r="H16" s="13">
        <v>130000</v>
      </c>
      <c r="I16" s="13">
        <v>0</v>
      </c>
      <c r="J16" s="13">
        <f t="shared" ref="J16" si="4">C16+D16-E16-G16-H16</f>
        <v>1475121</v>
      </c>
      <c r="K16" s="17">
        <f t="shared" ref="K16" si="5">(D16-E16)*100/B16</f>
        <v>97.877142857142857</v>
      </c>
      <c r="L16" s="15"/>
    </row>
    <row r="17" spans="1:12" x14ac:dyDescent="0.25">
      <c r="A17" s="33" t="s">
        <v>19</v>
      </c>
      <c r="B17" s="13">
        <v>550000</v>
      </c>
      <c r="C17" s="13">
        <v>1179806</v>
      </c>
      <c r="D17" s="14">
        <v>395675</v>
      </c>
      <c r="E17" s="13">
        <v>8549</v>
      </c>
      <c r="F17" s="13">
        <f t="shared" si="1"/>
        <v>387126</v>
      </c>
      <c r="G17" s="13">
        <v>15553</v>
      </c>
      <c r="H17" s="13">
        <v>231053</v>
      </c>
      <c r="I17" s="13">
        <v>0</v>
      </c>
      <c r="J17" s="13">
        <f>C17+D17-E17-G17-H17</f>
        <v>1320326</v>
      </c>
      <c r="K17" s="17">
        <f t="shared" ref="K17" si="6">(D17-E17)*100/B17</f>
        <v>70.386545454545455</v>
      </c>
      <c r="L17" s="15"/>
    </row>
    <row r="18" spans="1:12" x14ac:dyDescent="0.25">
      <c r="A18" s="32" t="s">
        <v>30</v>
      </c>
      <c r="B18" s="19">
        <v>450000</v>
      </c>
      <c r="C18" s="13">
        <v>1064990</v>
      </c>
      <c r="D18" s="14">
        <v>160380</v>
      </c>
      <c r="E18" s="13">
        <v>5375</v>
      </c>
      <c r="F18" s="13">
        <f t="shared" si="1"/>
        <v>155005</v>
      </c>
      <c r="G18" s="13">
        <v>575</v>
      </c>
      <c r="H18" s="13">
        <v>118000</v>
      </c>
      <c r="I18" s="20">
        <v>0</v>
      </c>
      <c r="J18" s="13">
        <f>C18+D18-E18-G18-H18-I18</f>
        <v>1101420</v>
      </c>
      <c r="K18" s="21">
        <f>F18*100/B18</f>
        <v>34.445555555555558</v>
      </c>
      <c r="L18" s="15"/>
    </row>
    <row r="19" spans="1:12" x14ac:dyDescent="0.25">
      <c r="A19" s="32" t="s">
        <v>29</v>
      </c>
      <c r="B19" s="19">
        <v>350000</v>
      </c>
      <c r="C19" s="13">
        <v>143800</v>
      </c>
      <c r="D19" s="14">
        <v>111495</v>
      </c>
      <c r="E19" s="13"/>
      <c r="F19" s="13">
        <f t="shared" si="1"/>
        <v>111495</v>
      </c>
      <c r="G19" s="13">
        <v>6386</v>
      </c>
      <c r="H19" s="13">
        <v>56818</v>
      </c>
      <c r="I19" s="13">
        <v>0</v>
      </c>
      <c r="J19" s="12">
        <f>C19+D19-E19-G19-H19</f>
        <v>192091</v>
      </c>
      <c r="K19" s="17">
        <f>F19*100/B19</f>
        <v>31.855714285714285</v>
      </c>
      <c r="L19" s="15"/>
    </row>
    <row r="20" spans="1:12" x14ac:dyDescent="0.25">
      <c r="A20" s="31"/>
      <c r="B20" s="19"/>
      <c r="C20" s="13"/>
      <c r="D20" s="14"/>
      <c r="E20" s="13"/>
      <c r="F20" s="13">
        <f t="shared" si="1"/>
        <v>0</v>
      </c>
      <c r="G20" s="13"/>
      <c r="H20" s="13"/>
      <c r="I20" s="13">
        <v>0</v>
      </c>
      <c r="J20" s="13"/>
      <c r="K20" s="17"/>
      <c r="L20" s="15"/>
    </row>
    <row r="21" spans="1:12" x14ac:dyDescent="0.25">
      <c r="A21" s="19"/>
      <c r="B21" s="19"/>
      <c r="C21" s="13"/>
      <c r="D21" s="14"/>
      <c r="E21" s="13"/>
      <c r="F21" s="13">
        <f t="shared" si="1"/>
        <v>0</v>
      </c>
      <c r="G21" s="13"/>
      <c r="H21" s="13"/>
      <c r="I21" s="13">
        <v>0</v>
      </c>
      <c r="J21" s="13"/>
      <c r="K21" s="17"/>
      <c r="L21" s="15"/>
    </row>
    <row r="22" spans="1:12" x14ac:dyDescent="0.25">
      <c r="A22" s="22" t="s">
        <v>15</v>
      </c>
      <c r="B22" s="22">
        <f t="shared" ref="B22:J22" si="7">SUM(B7:B21)</f>
        <v>4650000</v>
      </c>
      <c r="C22" s="22">
        <f>SUM(C7:C21)</f>
        <v>9467685</v>
      </c>
      <c r="D22" s="23">
        <f>SUM(D7:D21)</f>
        <v>2594821</v>
      </c>
      <c r="E22" s="22">
        <f>SUM(E7:E21)</f>
        <v>27044</v>
      </c>
      <c r="F22" s="22">
        <f>SUM(F7:F21)</f>
        <v>2567777</v>
      </c>
      <c r="G22" s="22">
        <f>SUM(G7:G21)</f>
        <v>65518</v>
      </c>
      <c r="H22" s="22">
        <f>SUM(H7:H21)</f>
        <v>1583438</v>
      </c>
      <c r="I22" s="22">
        <f t="shared" si="7"/>
        <v>0</v>
      </c>
      <c r="J22" s="22">
        <f t="shared" si="7"/>
        <v>10386506</v>
      </c>
      <c r="K22" s="24">
        <f>(D22-E22)*100/B22</f>
        <v>55.221010752688173</v>
      </c>
      <c r="L22" s="25"/>
    </row>
    <row r="23" spans="1:12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7"/>
      <c r="K23" s="28"/>
      <c r="L23" s="28"/>
    </row>
    <row r="24" spans="1:12" ht="13.5" customHeight="1" x14ac:dyDescent="0.25">
      <c r="A24" s="29"/>
      <c r="B24" s="1"/>
      <c r="C24" s="1"/>
      <c r="D24" s="1"/>
      <c r="E24" s="1"/>
      <c r="F24" s="1"/>
      <c r="G24" s="1"/>
      <c r="H24" s="1"/>
      <c r="I24" s="1"/>
      <c r="J24" s="18"/>
      <c r="K24" s="30"/>
      <c r="L24" s="1"/>
    </row>
    <row r="25" spans="1:12" x14ac:dyDescent="0.25">
      <c r="J25" s="18"/>
    </row>
    <row r="26" spans="1:12" x14ac:dyDescent="0.25">
      <c r="A26" t="s">
        <v>16</v>
      </c>
      <c r="F26" t="s">
        <v>17</v>
      </c>
      <c r="J26" s="18"/>
      <c r="K26" t="s">
        <v>25</v>
      </c>
    </row>
    <row r="27" spans="1:12" x14ac:dyDescent="0.25">
      <c r="J27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2025-11-01T05:35:32Z</dcterms:modified>
</cp:coreProperties>
</file>