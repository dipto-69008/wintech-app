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A28FA81D-75C2-4559-914F-9217DF6267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K20" i="1" l="1"/>
  <c r="J20" i="1"/>
  <c r="H20" i="1"/>
  <c r="G20" i="1"/>
  <c r="F20" i="1"/>
  <c r="E20" i="1"/>
  <c r="D20" i="1"/>
  <c r="C20" i="1"/>
  <c r="B20" i="1"/>
  <c r="K17" i="1"/>
  <c r="F12" i="1"/>
  <c r="K12" i="1" s="1"/>
  <c r="J17" i="1"/>
  <c r="J18" i="1"/>
  <c r="J16" i="1"/>
  <c r="F8" i="1"/>
  <c r="K8" i="1" s="1"/>
  <c r="F9" i="1"/>
  <c r="K9" i="1" s="1"/>
  <c r="F10" i="1"/>
  <c r="K10" i="1" s="1"/>
  <c r="F11" i="1"/>
  <c r="K11" i="1" s="1"/>
  <c r="F13" i="1"/>
  <c r="K13" i="1" s="1"/>
  <c r="F14" i="1"/>
  <c r="K14" i="1" s="1"/>
  <c r="F15" i="1"/>
  <c r="K15" i="1" s="1"/>
  <c r="F16" i="1"/>
  <c r="K16" i="1" s="1"/>
  <c r="F17" i="1"/>
  <c r="F18" i="1"/>
  <c r="K18" i="1" s="1"/>
  <c r="F7" i="1"/>
  <c r="J14" i="1" l="1"/>
  <c r="J7" i="1"/>
  <c r="J10" i="1"/>
  <c r="J9" i="1"/>
  <c r="J8" i="1"/>
  <c r="J11" i="1"/>
  <c r="J12" i="1"/>
  <c r="J13" i="1" l="1"/>
  <c r="K7" i="1"/>
  <c r="I20" i="1"/>
  <c r="J15" i="1"/>
</calcChain>
</file>

<file path=xl/sharedStrings.xml><?xml version="1.0" encoding="utf-8"?>
<sst xmlns="http://schemas.openxmlformats.org/spreadsheetml/2006/main" count="33" uniqueCount="32">
  <si>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</si>
  <si>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</si>
  <si>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</si>
  <si>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</si>
  <si>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</si>
  <si>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</si>
  <si>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</si>
  <si>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</si>
  <si>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</si>
  <si>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</si>
  <si>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</si>
  <si>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</si>
  <si>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</si>
  <si>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</si>
  <si>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</si>
  <si>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</si>
  <si>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</si>
  <si>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</si>
  <si>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</si>
  <si>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</si>
  <si>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</si>
  <si>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</si>
  <si>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</si>
  <si>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</si>
  <si>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</si>
  <si>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</si>
  <si>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Fulbaria</t>
  </si>
  <si>
    <t>Muktagasa</t>
  </si>
  <si>
    <t>Bakra</t>
  </si>
  <si>
    <t>Jessore</t>
  </si>
  <si>
    <t>Comilla-4H</t>
  </si>
  <si>
    <t>Month of September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</si>
</sst>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6" fillId="2" borderId="2" xfId="1" applyFont="1" applyFill="1" applyBorder="1"/>
    <xf numFmtId="43" fontId="6" fillId="2" borderId="7" xfId="1" applyFont="1" applyFill="1" applyBorder="1"/>
    <xf numFmtId="2" fontId="4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2" workbookViewId="0">
      <selection activeCell="O16" sqref="O16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0.25" x14ac:dyDescent="0.3">
      <c r="A1" s="32" t="s">
        <v>20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20.25" x14ac:dyDescent="0.3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20.25" x14ac:dyDescent="0.3">
      <c r="A3" s="32" t="s">
        <v>31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29" t="s">
        <v>23</v>
      </c>
      <c r="B7" s="18">
        <v>400000</v>
      </c>
      <c r="C7" s="13">
        <v>922789</v>
      </c>
      <c r="D7" s="14">
        <v>403915</v>
      </c>
      <c r="E7" s="13">
        <v>34500</v>
      </c>
      <c r="F7" s="13">
        <f>D7-E7</f>
        <v>369415</v>
      </c>
      <c r="G7" s="13">
        <v>540</v>
      </c>
      <c r="H7" s="13">
        <v>203810</v>
      </c>
      <c r="I7" s="19">
        <v>0</v>
      </c>
      <c r="J7" s="13">
        <f>C7+D7-E7-G7-H7-I7</f>
        <v>1087854</v>
      </c>
      <c r="K7" s="20">
        <f t="shared" ref="K7:K20" si="0">F7*100/B7</f>
        <v>92.353750000000005</v>
      </c>
      <c r="L7" s="15"/>
    </row>
    <row r="8" spans="1:12" x14ac:dyDescent="0.25">
      <c r="A8" s="30" t="s">
        <v>26</v>
      </c>
      <c r="B8" s="13">
        <v>200000</v>
      </c>
      <c r="C8" s="13">
        <v>537131</v>
      </c>
      <c r="D8" s="14">
        <v>193030</v>
      </c>
      <c r="E8" s="16">
        <v>6125</v>
      </c>
      <c r="F8" s="13">
        <f t="shared" ref="F8:F18" si="1">D8-E8</f>
        <v>186905</v>
      </c>
      <c r="G8" s="13">
        <v>3080</v>
      </c>
      <c r="H8" s="13">
        <v>123885</v>
      </c>
      <c r="I8" s="13">
        <v>0</v>
      </c>
      <c r="J8" s="12">
        <f>C8+D8-E8-G8-H8-I8</f>
        <v>597071</v>
      </c>
      <c r="K8" s="20">
        <f>F8*100/B8</f>
        <v>93.452500000000001</v>
      </c>
      <c r="L8" s="15"/>
    </row>
    <row r="9" spans="1:12" x14ac:dyDescent="0.25">
      <c r="A9" s="30" t="s">
        <v>27</v>
      </c>
      <c r="B9" s="13">
        <v>350000</v>
      </c>
      <c r="C9" s="13">
        <v>856620</v>
      </c>
      <c r="D9" s="14">
        <v>129345</v>
      </c>
      <c r="E9" s="16">
        <v>0</v>
      </c>
      <c r="F9" s="13">
        <f t="shared" si="1"/>
        <v>129345</v>
      </c>
      <c r="G9" s="13">
        <v>0</v>
      </c>
      <c r="H9" s="13">
        <v>62000</v>
      </c>
      <c r="I9" s="13">
        <v>0</v>
      </c>
      <c r="J9" s="12">
        <f>C9+D9-E9-G9-H9-I9</f>
        <v>923965</v>
      </c>
      <c r="K9" s="20">
        <f t="shared" si="0"/>
        <v>36.955714285714286</v>
      </c>
      <c r="L9" s="15"/>
    </row>
    <row r="10" spans="1:12" x14ac:dyDescent="0.25">
      <c r="A10" s="29" t="s">
        <v>24</v>
      </c>
      <c r="B10" s="18">
        <v>250000</v>
      </c>
      <c r="C10" s="13">
        <v>421848</v>
      </c>
      <c r="D10" s="14">
        <v>46800</v>
      </c>
      <c r="E10" s="13">
        <v>0</v>
      </c>
      <c r="F10" s="13">
        <f t="shared" si="1"/>
        <v>46800</v>
      </c>
      <c r="G10" s="13">
        <v>744</v>
      </c>
      <c r="H10" s="13">
        <v>20000</v>
      </c>
      <c r="I10" s="13">
        <v>0</v>
      </c>
      <c r="J10" s="12">
        <f>C10+D10-E10-G10-H10</f>
        <v>447904</v>
      </c>
      <c r="K10" s="20">
        <f t="shared" si="0"/>
        <v>18.72</v>
      </c>
      <c r="L10" s="15"/>
    </row>
    <row r="11" spans="1:12" x14ac:dyDescent="0.25">
      <c r="A11" s="30" t="s">
        <v>14</v>
      </c>
      <c r="B11" s="13">
        <v>550000</v>
      </c>
      <c r="C11" s="13">
        <v>2134976</v>
      </c>
      <c r="D11" s="14">
        <v>561012</v>
      </c>
      <c r="E11" s="16">
        <v>57205</v>
      </c>
      <c r="F11" s="13">
        <f t="shared" si="1"/>
        <v>503807</v>
      </c>
      <c r="G11" s="13">
        <v>5939</v>
      </c>
      <c r="H11" s="13">
        <v>335660</v>
      </c>
      <c r="I11" s="13">
        <v>0</v>
      </c>
      <c r="J11" s="12">
        <f>C11+D11-E11-G11-H11</f>
        <v>2297184</v>
      </c>
      <c r="K11" s="20">
        <f t="shared" si="0"/>
        <v>91.601272727272729</v>
      </c>
      <c r="L11" s="15"/>
    </row>
    <row r="12" spans="1:12" x14ac:dyDescent="0.25">
      <c r="A12" s="30" t="s">
        <v>18</v>
      </c>
      <c r="B12" s="13">
        <v>400000</v>
      </c>
      <c r="C12" s="13">
        <v>1101080</v>
      </c>
      <c r="D12" s="14">
        <v>155370</v>
      </c>
      <c r="E12" s="13">
        <v>3960</v>
      </c>
      <c r="F12" s="13">
        <f t="shared" si="1"/>
        <v>151410</v>
      </c>
      <c r="G12" s="13">
        <v>2450</v>
      </c>
      <c r="H12" s="13">
        <v>94520</v>
      </c>
      <c r="I12" s="13">
        <v>0</v>
      </c>
      <c r="J12" s="13">
        <f t="shared" ref="J12" si="2">C12+D12-E12-G12-H12</f>
        <v>1155520</v>
      </c>
      <c r="K12" s="20">
        <f t="shared" si="0"/>
        <v>37.852499999999999</v>
      </c>
      <c r="L12" s="15"/>
    </row>
    <row r="13" spans="1:12" x14ac:dyDescent="0.25">
      <c r="A13" s="29" t="s">
        <v>22</v>
      </c>
      <c r="B13" s="18">
        <v>200000</v>
      </c>
      <c r="C13" s="13">
        <v>574039</v>
      </c>
      <c r="D13" s="14">
        <v>99040</v>
      </c>
      <c r="E13" s="13">
        <v>0</v>
      </c>
      <c r="F13" s="13">
        <f t="shared" si="1"/>
        <v>99040</v>
      </c>
      <c r="G13" s="13">
        <v>486</v>
      </c>
      <c r="H13" s="13">
        <v>36320</v>
      </c>
      <c r="I13" s="13">
        <v>0</v>
      </c>
      <c r="J13" s="12">
        <f>C13+D13-E13-G13-H13</f>
        <v>636273</v>
      </c>
      <c r="K13" s="20">
        <f t="shared" si="0"/>
        <v>49.52</v>
      </c>
      <c r="L13" s="15"/>
    </row>
    <row r="14" spans="1:12" x14ac:dyDescent="0.25">
      <c r="A14" s="29" t="s">
        <v>30</v>
      </c>
      <c r="B14" s="18">
        <v>350000</v>
      </c>
      <c r="C14" s="13">
        <v>170138</v>
      </c>
      <c r="D14" s="14">
        <v>241310</v>
      </c>
      <c r="E14" s="13">
        <v>0</v>
      </c>
      <c r="F14" s="13">
        <f t="shared" si="1"/>
        <v>241310</v>
      </c>
      <c r="G14" s="13">
        <v>2021</v>
      </c>
      <c r="H14" s="13">
        <v>100400</v>
      </c>
      <c r="I14" s="13">
        <v>0</v>
      </c>
      <c r="J14" s="12">
        <f>C14+D14-E14-G14-H14</f>
        <v>309027</v>
      </c>
      <c r="K14" s="20">
        <f t="shared" si="0"/>
        <v>68.945714285714288</v>
      </c>
      <c r="L14" s="15"/>
    </row>
    <row r="15" spans="1:12" x14ac:dyDescent="0.25">
      <c r="A15" s="30" t="s">
        <v>21</v>
      </c>
      <c r="B15" s="13">
        <v>350000</v>
      </c>
      <c r="C15" s="13">
        <v>1380756</v>
      </c>
      <c r="D15" s="14">
        <v>343880</v>
      </c>
      <c r="E15" s="13">
        <v>0</v>
      </c>
      <c r="F15" s="13">
        <f t="shared" si="1"/>
        <v>343880</v>
      </c>
      <c r="G15" s="13">
        <v>13882</v>
      </c>
      <c r="H15" s="13">
        <v>228500</v>
      </c>
      <c r="I15" s="13">
        <v>0</v>
      </c>
      <c r="J15" s="13">
        <f t="shared" ref="J15" si="3">C15+D15-E15-G15-H15</f>
        <v>1482254</v>
      </c>
      <c r="K15" s="20">
        <f t="shared" si="0"/>
        <v>98.251428571428576</v>
      </c>
      <c r="L15" s="15"/>
    </row>
    <row r="16" spans="1:12" x14ac:dyDescent="0.25">
      <c r="A16" s="30" t="s">
        <v>19</v>
      </c>
      <c r="B16" s="13">
        <v>550000</v>
      </c>
      <c r="C16" s="13">
        <v>1308926</v>
      </c>
      <c r="D16" s="14">
        <v>270715</v>
      </c>
      <c r="E16" s="13">
        <v>0</v>
      </c>
      <c r="F16" s="13">
        <f t="shared" si="1"/>
        <v>270715</v>
      </c>
      <c r="G16" s="13">
        <v>11932</v>
      </c>
      <c r="H16" s="13">
        <v>196271</v>
      </c>
      <c r="I16" s="13">
        <v>0</v>
      </c>
      <c r="J16" s="13">
        <f>C16+D16-E16-G16-H16</f>
        <v>1371438</v>
      </c>
      <c r="K16" s="20">
        <f t="shared" si="0"/>
        <v>49.220909090909089</v>
      </c>
      <c r="L16" s="15"/>
    </row>
    <row r="17" spans="1:12" x14ac:dyDescent="0.25">
      <c r="A17" s="29" t="s">
        <v>29</v>
      </c>
      <c r="B17" s="18">
        <v>450000</v>
      </c>
      <c r="C17" s="13">
        <v>1783285</v>
      </c>
      <c r="D17" s="14">
        <v>1429575</v>
      </c>
      <c r="E17" s="13">
        <v>0</v>
      </c>
      <c r="F17" s="13">
        <f t="shared" si="1"/>
        <v>1429575</v>
      </c>
      <c r="G17" s="13">
        <v>308267</v>
      </c>
      <c r="H17" s="13">
        <v>229153</v>
      </c>
      <c r="I17" s="19">
        <v>0</v>
      </c>
      <c r="J17" s="13">
        <f t="shared" ref="J17:J18" si="4">C17+D17-E17-G17-H17</f>
        <v>2675440</v>
      </c>
      <c r="K17" s="20">
        <f>F17*100/B17</f>
        <v>317.68333333333334</v>
      </c>
      <c r="L17" s="15"/>
    </row>
    <row r="18" spans="1:12" x14ac:dyDescent="0.25">
      <c r="A18" s="29" t="s">
        <v>28</v>
      </c>
      <c r="B18" s="18">
        <v>350000</v>
      </c>
      <c r="C18" s="13">
        <v>278015</v>
      </c>
      <c r="D18" s="14">
        <v>159590</v>
      </c>
      <c r="E18" s="13">
        <v>0</v>
      </c>
      <c r="F18" s="13">
        <f t="shared" si="1"/>
        <v>159590</v>
      </c>
      <c r="G18" s="13">
        <v>7842</v>
      </c>
      <c r="H18" s="13">
        <v>107000</v>
      </c>
      <c r="I18" s="13">
        <v>0</v>
      </c>
      <c r="J18" s="13">
        <f t="shared" si="4"/>
        <v>322763</v>
      </c>
      <c r="K18" s="20">
        <f t="shared" si="0"/>
        <v>45.597142857142856</v>
      </c>
      <c r="L18" s="15"/>
    </row>
    <row r="19" spans="1:12" x14ac:dyDescent="0.25">
      <c r="A19" s="18"/>
      <c r="B19" s="18"/>
      <c r="C19" s="13"/>
      <c r="D19" s="14"/>
      <c r="E19" s="13"/>
      <c r="F19" s="13"/>
      <c r="G19" s="13"/>
      <c r="H19" s="13"/>
      <c r="I19" s="13"/>
      <c r="J19" s="13"/>
      <c r="K19" s="20"/>
      <c r="L19" s="15"/>
    </row>
    <row r="20" spans="1:12" x14ac:dyDescent="0.25">
      <c r="A20" s="21" t="s">
        <v>15</v>
      </c>
      <c r="B20" s="21">
        <f>SUM(B7:B19)</f>
        <v>4400000</v>
      </c>
      <c r="C20" s="21">
        <f>SUM(C7:C19)</f>
        <v>11469603</v>
      </c>
      <c r="D20" s="22">
        <f>SUM(D7:D19)</f>
        <v>4033582</v>
      </c>
      <c r="E20" s="21">
        <f>SUM(E7:E19)</f>
        <v>101790</v>
      </c>
      <c r="F20" s="21">
        <f>SUM(F7:F19)</f>
        <v>3931792</v>
      </c>
      <c r="G20" s="21">
        <f>SUM(G7:G19)</f>
        <v>357183</v>
      </c>
      <c r="H20" s="21">
        <f>SUM(H7:H19)</f>
        <v>1737519</v>
      </c>
      <c r="I20" s="21">
        <f t="shared" ref="B20:J20" si="5">SUM(I7:I19)</f>
        <v>0</v>
      </c>
      <c r="J20" s="21">
        <f>SUM(J7:J19)</f>
        <v>13306693</v>
      </c>
      <c r="K20" s="31">
        <f>F20*100/B20</f>
        <v>89.358909090909094</v>
      </c>
      <c r="L20" s="23"/>
    </row>
    <row r="21" spans="1:12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5"/>
      <c r="K21" s="26"/>
      <c r="L21" s="26"/>
    </row>
    <row r="22" spans="1:12" ht="13.5" customHeight="1" x14ac:dyDescent="0.25">
      <c r="A22" s="27"/>
      <c r="B22" s="1"/>
      <c r="C22" s="1"/>
      <c r="D22" s="1"/>
      <c r="E22" s="1"/>
      <c r="F22" s="1"/>
      <c r="G22" s="1"/>
      <c r="H22" s="1"/>
      <c r="I22" s="1"/>
      <c r="J22" s="17"/>
      <c r="K22" s="28"/>
      <c r="L22" s="1"/>
    </row>
    <row r="23" spans="1:12" x14ac:dyDescent="0.25">
      <c r="J23" s="17"/>
    </row>
    <row r="24" spans="1:12" x14ac:dyDescent="0.25">
      <c r="A24" t="s">
        <v>16</v>
      </c>
      <c r="F24" t="s">
        <v>17</v>
      </c>
      <c r="J24" s="17"/>
      <c r="K24" t="s">
        <v>25</v>
      </c>
    </row>
    <row r="25" spans="1:12" x14ac:dyDescent="0.25">
      <c r="J25" s="17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2025-11-01T05:52:41Z</dcterms:modified>
</cp:coreProperties>
</file>