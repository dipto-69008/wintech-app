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1521A745-42CB-46C6-A497-BFC6A12078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G21" i="1" l="1"/>
  <c r="F8" i="1"/>
  <c r="F9" i="1"/>
  <c r="K9" i="1" s="1"/>
  <c r="F10" i="1"/>
  <c r="K10" i="1" s="1"/>
  <c r="F11" i="1"/>
  <c r="F12" i="1"/>
  <c r="F13" i="1"/>
  <c r="F14" i="1"/>
  <c r="F15" i="1"/>
  <c r="F16" i="1"/>
  <c r="F17" i="1"/>
  <c r="F18" i="1"/>
  <c r="K12" i="1"/>
  <c r="F7" i="1"/>
  <c r="E21" i="1"/>
  <c r="C21" i="1"/>
  <c r="B21" i="1"/>
  <c r="J10" i="1"/>
  <c r="K11" i="1"/>
  <c r="J11" i="1"/>
  <c r="J9" i="1"/>
  <c r="J8" i="1"/>
  <c r="J7" i="1"/>
  <c r="J12" i="1"/>
  <c r="K13" i="1"/>
  <c r="J13" i="1"/>
  <c r="J16" i="1"/>
  <c r="K16" i="1"/>
  <c r="F21" i="1" l="1"/>
  <c r="D21" i="1"/>
  <c r="K14" i="1"/>
  <c r="J14" i="1"/>
  <c r="K8" i="1"/>
  <c r="K7" i="1"/>
  <c r="I21" i="1"/>
  <c r="H21" i="1"/>
  <c r="K18" i="1"/>
  <c r="J18" i="1"/>
  <c r="K17" i="1"/>
  <c r="J17" i="1"/>
  <c r="K15" i="1"/>
  <c r="J15" i="1"/>
  <c r="J21" i="1" l="1"/>
  <c r="K21" i="1"/>
</calcChain>
</file>

<file path=xl/sharedStrings.xml><?xml version="1.0" encoding="utf-8"?>
<sst xmlns="http://schemas.openxmlformats.org/spreadsheetml/2006/main" count="33" uniqueCount="32">
  <si>
    <t xml:space="preserve">Total Sales Summary of The Company 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</si>
  <si>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</si>
  <si>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</si>
  <si>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</si>
  <si>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</si>
  <si>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</si>
  <si>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</si>
  <si>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</si>
  <si>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</si>
  <si>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</si>
  <si>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</si>
  <si>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</si>
  <si>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</si>
  <si>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</si>
  <si>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</si>
  <si>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</si>
  <si>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</si>
  <si>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</si>
  <si>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</si>
  <si>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Bogra</t>
  </si>
  <si>
    <t>WINTECH AGRO BANGLADESH</t>
  </si>
  <si>
    <t>Feni</t>
  </si>
  <si>
    <t>Comilla-3</t>
  </si>
  <si>
    <t>Mymen-1</t>
  </si>
  <si>
    <t>Fulpur</t>
  </si>
  <si>
    <t>Manager Sales</t>
  </si>
  <si>
    <t>Month of April -2025</t>
  </si>
  <si>
    <t>Netrakona</t>
  </si>
  <si>
    <t>Fulbaria</t>
  </si>
  <si>
    <t>Muktagasa</t>
  </si>
  <si>
    <t>Bakra</t>
  </si>
  <si>
    <t>Jessore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</si>
</sst>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3" fillId="0" borderId="5" xfId="1" applyFont="1" applyBorder="1"/>
    <xf numFmtId="43" fontId="3" fillId="0" borderId="7" xfId="1" applyFont="1" applyBorder="1"/>
    <xf numFmtId="43" fontId="3" fillId="0" borderId="8" xfId="1" applyFont="1" applyBorder="1"/>
    <xf numFmtId="2" fontId="3" fillId="0" borderId="7" xfId="0" applyNumberFormat="1" applyFont="1" applyBorder="1"/>
    <xf numFmtId="43" fontId="3" fillId="0" borderId="7" xfId="1" applyFont="1" applyFill="1" applyBorder="1"/>
    <xf numFmtId="2" fontId="3" fillId="0" borderId="7" xfId="0" applyNumberFormat="1" applyFont="1" applyBorder="1" applyAlignment="1">
      <alignment horizontal="center"/>
    </xf>
    <xf numFmtId="43" fontId="3" fillId="0" borderId="0" xfId="1" applyFont="1"/>
    <xf numFmtId="43" fontId="3" fillId="0" borderId="2" xfId="1" applyFont="1" applyBorder="1"/>
    <xf numFmtId="43" fontId="3" fillId="0" borderId="9" xfId="1" applyFont="1" applyBorder="1"/>
    <xf numFmtId="2" fontId="3" fillId="0" borderId="8" xfId="0" applyNumberFormat="1" applyFont="1" applyBorder="1" applyAlignment="1">
      <alignment horizontal="center"/>
    </xf>
    <xf numFmtId="43" fontId="4" fillId="0" borderId="7" xfId="1" applyFont="1" applyBorder="1"/>
    <xf numFmtId="43" fontId="4" fillId="0" borderId="8" xfId="1" applyFont="1" applyBorder="1"/>
    <xf numFmtId="2" fontId="4" fillId="0" borderId="7" xfId="0" applyNumberFormat="1" applyFont="1" applyBorder="1" applyAlignment="1">
      <alignment horizontal="center"/>
    </xf>
    <xf numFmtId="2" fontId="4" fillId="0" borderId="7" xfId="0" applyNumberFormat="1" applyFont="1" applyBorder="1"/>
    <xf numFmtId="43" fontId="4" fillId="0" borderId="0" xfId="1" applyFont="1" applyBorder="1"/>
    <xf numFmtId="43" fontId="3" fillId="0" borderId="0" xfId="1" applyFont="1" applyBorder="1"/>
    <xf numFmtId="2" fontId="4" fillId="0" borderId="0" xfId="0" applyNumberFormat="1" applyFont="1"/>
    <xf numFmtId="43" fontId="4" fillId="0" borderId="0" xfId="1" applyFont="1" applyFill="1" applyBorder="1"/>
    <xf numFmtId="43" fontId="3" fillId="0" borderId="0" xfId="0" applyNumberFormat="1" applyFont="1"/>
    <xf numFmtId="43" fontId="6" fillId="2" borderId="2" xfId="1" applyFont="1" applyFill="1" applyBorder="1"/>
    <xf numFmtId="43" fontId="6" fillId="2" borderId="7" xfId="1" applyFont="1" applyFill="1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কমা" xfId="1" builtinId="3"/>
    <cellStyle name="সাধারণ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J10" sqref="J10"/>
    </sheetView>
  </sheetViews>
  <sheetFormatPr defaultRowHeight="15" x14ac:dyDescent="0.25"/>
  <cols>
    <col min="2" max="2" width="12" customWidth="1"/>
    <col min="3" max="3" width="12.140625" customWidth="1"/>
    <col min="4" max="4" width="11.7109375" customWidth="1"/>
    <col min="5" max="5" width="9.7109375" customWidth="1"/>
    <col min="6" max="6" width="11.42578125" customWidth="1"/>
    <col min="7" max="7" width="10.85546875" customWidth="1"/>
    <col min="8" max="8" width="12.28515625" customWidth="1"/>
    <col min="9" max="9" width="10.28515625" customWidth="1"/>
    <col min="10" max="10" width="11.7109375" customWidth="1"/>
    <col min="11" max="11" width="11" customWidth="1"/>
    <col min="12" max="12" width="10.7109375" customWidth="1"/>
    <col min="14" max="14" width="13.5703125" customWidth="1"/>
  </cols>
  <sheetData>
    <row r="1" spans="1:12" ht="20.25" x14ac:dyDescent="0.3">
      <c r="A1" s="33" t="s">
        <v>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0.25" x14ac:dyDescent="0.3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20.25" x14ac:dyDescent="0.3">
      <c r="A3" s="33" t="s">
        <v>26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x14ac:dyDescent="0.25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x14ac:dyDescent="0.25">
      <c r="A7" s="31" t="s">
        <v>23</v>
      </c>
      <c r="B7" s="19">
        <v>300000</v>
      </c>
      <c r="C7" s="13">
        <v>450824</v>
      </c>
      <c r="D7" s="14">
        <v>455055</v>
      </c>
      <c r="E7" s="13">
        <v>7550</v>
      </c>
      <c r="F7" s="13">
        <f>D7-E7</f>
        <v>447505</v>
      </c>
      <c r="G7" s="13">
        <v>16580</v>
      </c>
      <c r="H7" s="13">
        <v>325570</v>
      </c>
      <c r="I7" s="20"/>
      <c r="J7" s="13">
        <f>C7+D7-E7-G7-H7-I7</f>
        <v>556179</v>
      </c>
      <c r="K7" s="21">
        <f t="shared" ref="K7:K12" si="0">F7*100/B7</f>
        <v>149.16833333333332</v>
      </c>
      <c r="L7" s="15"/>
    </row>
    <row r="8" spans="1:12" x14ac:dyDescent="0.25">
      <c r="A8" s="32" t="s">
        <v>28</v>
      </c>
      <c r="B8" s="13">
        <v>200000</v>
      </c>
      <c r="C8" s="13">
        <v>304020</v>
      </c>
      <c r="D8" s="14">
        <v>38815</v>
      </c>
      <c r="E8" s="16"/>
      <c r="F8" s="13">
        <f t="shared" ref="F8:F18" si="1">D8-E8</f>
        <v>38815</v>
      </c>
      <c r="G8" s="13">
        <v>1550</v>
      </c>
      <c r="H8" s="13">
        <v>46180</v>
      </c>
      <c r="I8" s="13"/>
      <c r="J8" s="12">
        <f>C8+D8-E8-G8-H8-I8</f>
        <v>295105</v>
      </c>
      <c r="K8" s="17">
        <f t="shared" si="0"/>
        <v>19.407499999999999</v>
      </c>
      <c r="L8" s="15"/>
    </row>
    <row r="9" spans="1:12" x14ac:dyDescent="0.25">
      <c r="A9" s="32" t="s">
        <v>29</v>
      </c>
      <c r="B9" s="13">
        <v>200000</v>
      </c>
      <c r="C9" s="13">
        <v>724480</v>
      </c>
      <c r="D9" s="14">
        <v>227474</v>
      </c>
      <c r="E9" s="16"/>
      <c r="F9" s="13">
        <f t="shared" si="1"/>
        <v>227474</v>
      </c>
      <c r="G9" s="13">
        <v>1182</v>
      </c>
      <c r="H9" s="13">
        <v>103668</v>
      </c>
      <c r="I9" s="13"/>
      <c r="J9" s="12">
        <f>C9+D9-E9-G9-H9-I9</f>
        <v>847104</v>
      </c>
      <c r="K9" s="17">
        <f t="shared" si="0"/>
        <v>113.73699999999999</v>
      </c>
      <c r="L9" s="15"/>
    </row>
    <row r="10" spans="1:12" x14ac:dyDescent="0.25">
      <c r="A10" s="31" t="s">
        <v>27</v>
      </c>
      <c r="B10" s="19">
        <v>250000</v>
      </c>
      <c r="C10" s="13"/>
      <c r="D10" s="14">
        <v>49135</v>
      </c>
      <c r="E10" s="13"/>
      <c r="F10" s="13">
        <f t="shared" si="1"/>
        <v>49135</v>
      </c>
      <c r="G10" s="13"/>
      <c r="H10" s="13"/>
      <c r="I10" s="13">
        <v>0</v>
      </c>
      <c r="J10" s="12">
        <f>C10+D10-E10-G10-H10</f>
        <v>49135</v>
      </c>
      <c r="K10" s="17">
        <f t="shared" si="0"/>
        <v>19.654</v>
      </c>
      <c r="L10" s="15"/>
    </row>
    <row r="11" spans="1:12" x14ac:dyDescent="0.25">
      <c r="A11" s="31" t="s">
        <v>24</v>
      </c>
      <c r="B11" s="19">
        <v>250000</v>
      </c>
      <c r="C11" s="13">
        <v>226563</v>
      </c>
      <c r="D11" s="14">
        <v>84400</v>
      </c>
      <c r="E11" s="13"/>
      <c r="F11" s="13">
        <f t="shared" si="1"/>
        <v>84400</v>
      </c>
      <c r="G11" s="13">
        <v>1740</v>
      </c>
      <c r="H11" s="13">
        <v>77910</v>
      </c>
      <c r="I11" s="13">
        <v>0</v>
      </c>
      <c r="J11" s="12">
        <f>C11+D11-E11-G11-H11</f>
        <v>231313</v>
      </c>
      <c r="K11" s="17">
        <f t="shared" si="0"/>
        <v>33.76</v>
      </c>
      <c r="L11" s="15"/>
    </row>
    <row r="12" spans="1:12" x14ac:dyDescent="0.25">
      <c r="A12" s="32" t="s">
        <v>14</v>
      </c>
      <c r="B12" s="13">
        <v>450000</v>
      </c>
      <c r="C12" s="13">
        <v>1439033</v>
      </c>
      <c r="D12" s="14">
        <v>359555</v>
      </c>
      <c r="E12" s="16">
        <v>5770</v>
      </c>
      <c r="F12" s="13">
        <f t="shared" si="1"/>
        <v>353785</v>
      </c>
      <c r="G12" s="13">
        <v>1785</v>
      </c>
      <c r="H12" s="13">
        <v>176160</v>
      </c>
      <c r="I12" s="13">
        <v>0</v>
      </c>
      <c r="J12" s="12">
        <f>C12+D12-E12-G12-H12</f>
        <v>1614873</v>
      </c>
      <c r="K12" s="17">
        <f t="shared" si="0"/>
        <v>78.61888888888889</v>
      </c>
      <c r="L12" s="15"/>
    </row>
    <row r="13" spans="1:12" x14ac:dyDescent="0.25">
      <c r="A13" s="32" t="s">
        <v>18</v>
      </c>
      <c r="B13" s="13">
        <v>300000</v>
      </c>
      <c r="C13" s="13">
        <v>901320</v>
      </c>
      <c r="D13" s="14">
        <v>264320</v>
      </c>
      <c r="E13" s="13"/>
      <c r="F13" s="13">
        <f t="shared" si="1"/>
        <v>264320</v>
      </c>
      <c r="G13" s="13">
        <v>1400</v>
      </c>
      <c r="H13" s="13">
        <v>164380</v>
      </c>
      <c r="I13" s="13">
        <v>0</v>
      </c>
      <c r="J13" s="13">
        <f t="shared" ref="J13" si="2">C13+D13-E13-G13-H13</f>
        <v>999860</v>
      </c>
      <c r="K13" s="17">
        <f t="shared" ref="K13" si="3">(D13-E13)*100/B13</f>
        <v>88.106666666666669</v>
      </c>
      <c r="L13" s="15"/>
    </row>
    <row r="14" spans="1:12" x14ac:dyDescent="0.25">
      <c r="A14" s="31" t="s">
        <v>22</v>
      </c>
      <c r="B14" s="19">
        <v>200000</v>
      </c>
      <c r="C14" s="13">
        <v>662979</v>
      </c>
      <c r="D14" s="14">
        <v>37325</v>
      </c>
      <c r="E14" s="13">
        <v>58430</v>
      </c>
      <c r="F14" s="13">
        <f t="shared" si="1"/>
        <v>-21105</v>
      </c>
      <c r="G14" s="13">
        <v>565</v>
      </c>
      <c r="H14" s="13">
        <v>36900</v>
      </c>
      <c r="I14" s="13">
        <v>0</v>
      </c>
      <c r="J14" s="12">
        <f>C14+D14-E14-G14-H14</f>
        <v>604409</v>
      </c>
      <c r="K14" s="17">
        <f>F14*100/B14</f>
        <v>-10.5525</v>
      </c>
      <c r="L14" s="15"/>
    </row>
    <row r="15" spans="1:12" x14ac:dyDescent="0.25">
      <c r="A15" s="32" t="s">
        <v>21</v>
      </c>
      <c r="B15" s="13">
        <v>250000</v>
      </c>
      <c r="C15" s="13">
        <v>1239159</v>
      </c>
      <c r="D15" s="14">
        <v>195710</v>
      </c>
      <c r="E15" s="13"/>
      <c r="F15" s="13">
        <f t="shared" si="1"/>
        <v>195710</v>
      </c>
      <c r="G15" s="13">
        <v>13699</v>
      </c>
      <c r="H15" s="13">
        <v>140000</v>
      </c>
      <c r="I15" s="13">
        <v>0</v>
      </c>
      <c r="J15" s="13">
        <f t="shared" ref="J15" si="4">C15+D15-E15-G15-H15</f>
        <v>1281170</v>
      </c>
      <c r="K15" s="17">
        <f t="shared" ref="K15" si="5">(D15-E15)*100/B15</f>
        <v>78.284000000000006</v>
      </c>
      <c r="L15" s="15"/>
    </row>
    <row r="16" spans="1:12" x14ac:dyDescent="0.25">
      <c r="A16" s="32" t="s">
        <v>19</v>
      </c>
      <c r="B16" s="13">
        <v>350000</v>
      </c>
      <c r="C16" s="13">
        <v>884876</v>
      </c>
      <c r="D16" s="14">
        <v>280050</v>
      </c>
      <c r="E16" s="13"/>
      <c r="F16" s="13">
        <f t="shared" si="1"/>
        <v>280050</v>
      </c>
      <c r="G16" s="13">
        <v>9327</v>
      </c>
      <c r="H16" s="13">
        <v>161018</v>
      </c>
      <c r="I16" s="13">
        <v>0</v>
      </c>
      <c r="J16" s="13">
        <f>C16+D16-E16-G16-H16</f>
        <v>994581</v>
      </c>
      <c r="K16" s="17">
        <f t="shared" ref="K16" si="6">(D16-E16)*100/B16</f>
        <v>80.01428571428572</v>
      </c>
      <c r="L16" s="15"/>
    </row>
    <row r="17" spans="1:12" x14ac:dyDescent="0.25">
      <c r="A17" s="31" t="s">
        <v>31</v>
      </c>
      <c r="B17" s="19">
        <v>250000</v>
      </c>
      <c r="C17" s="13">
        <v>755110</v>
      </c>
      <c r="D17" s="14">
        <v>62840</v>
      </c>
      <c r="E17" s="13"/>
      <c r="F17" s="13">
        <f t="shared" si="1"/>
        <v>62840</v>
      </c>
      <c r="G17" s="13">
        <v>22400</v>
      </c>
      <c r="H17" s="13">
        <v>129910</v>
      </c>
      <c r="I17" s="20">
        <v>0</v>
      </c>
      <c r="J17" s="13">
        <f>C17+D17-E17-G17-H17-I17</f>
        <v>665640</v>
      </c>
      <c r="K17" s="21">
        <f>F17*100/B17</f>
        <v>25.135999999999999</v>
      </c>
      <c r="L17" s="15"/>
    </row>
    <row r="18" spans="1:12" x14ac:dyDescent="0.25">
      <c r="A18" s="31" t="s">
        <v>30</v>
      </c>
      <c r="B18" s="19">
        <v>200000</v>
      </c>
      <c r="C18" s="13">
        <v>29068</v>
      </c>
      <c r="D18" s="14">
        <v>99670</v>
      </c>
      <c r="E18" s="13"/>
      <c r="F18" s="13">
        <f t="shared" si="1"/>
        <v>99670</v>
      </c>
      <c r="G18" s="13">
        <v>4929</v>
      </c>
      <c r="H18" s="13">
        <v>75075</v>
      </c>
      <c r="I18" s="13">
        <v>0</v>
      </c>
      <c r="J18" s="12">
        <f>C18+D18-E18-G18-H18</f>
        <v>48734</v>
      </c>
      <c r="K18" s="17">
        <f>F18*100/B18</f>
        <v>49.835000000000001</v>
      </c>
      <c r="L18" s="15"/>
    </row>
    <row r="19" spans="1:12" x14ac:dyDescent="0.25">
      <c r="A19" s="19"/>
      <c r="B19" s="19"/>
      <c r="C19" s="13"/>
      <c r="D19" s="14"/>
      <c r="E19" s="13"/>
      <c r="F19" s="13"/>
      <c r="G19" s="13"/>
      <c r="H19" s="13"/>
      <c r="I19" s="13">
        <v>0</v>
      </c>
      <c r="J19" s="13"/>
      <c r="K19" s="17"/>
      <c r="L19" s="15"/>
    </row>
    <row r="20" spans="1:12" x14ac:dyDescent="0.25">
      <c r="A20" s="19"/>
      <c r="B20" s="19"/>
      <c r="C20" s="13"/>
      <c r="D20" s="14"/>
      <c r="E20" s="13"/>
      <c r="F20" s="13"/>
      <c r="G20" s="13"/>
      <c r="H20" s="13"/>
      <c r="I20" s="13">
        <v>0</v>
      </c>
      <c r="J20" s="13"/>
      <c r="K20" s="17"/>
      <c r="L20" s="15"/>
    </row>
    <row r="21" spans="1:12" x14ac:dyDescent="0.25">
      <c r="A21" s="22" t="s">
        <v>15</v>
      </c>
      <c r="B21" s="22">
        <f t="shared" ref="B21:H21" si="7">SUM(B7:B20)</f>
        <v>3200000</v>
      </c>
      <c r="C21" s="22">
        <f t="shared" si="7"/>
        <v>7617432</v>
      </c>
      <c r="D21" s="23">
        <f t="shared" si="7"/>
        <v>2154349</v>
      </c>
      <c r="E21" s="22">
        <f t="shared" si="7"/>
        <v>71750</v>
      </c>
      <c r="F21" s="22">
        <f t="shared" si="7"/>
        <v>2082599</v>
      </c>
      <c r="G21" s="22">
        <f>SUM(G7:G20)</f>
        <v>75157</v>
      </c>
      <c r="H21" s="22">
        <f t="shared" si="7"/>
        <v>1436771</v>
      </c>
      <c r="I21" s="22">
        <f t="shared" ref="I21:J21" si="8">SUM(I7:I20)</f>
        <v>0</v>
      </c>
      <c r="J21" s="22">
        <f t="shared" si="8"/>
        <v>8188103</v>
      </c>
      <c r="K21" s="24">
        <f>(D21-E21)*100/B21</f>
        <v>65.081218750000005</v>
      </c>
      <c r="L21" s="25"/>
    </row>
    <row r="22" spans="1:12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7"/>
      <c r="K22" s="28"/>
      <c r="L22" s="28"/>
    </row>
    <row r="23" spans="1:12" ht="13.5" customHeight="1" x14ac:dyDescent="0.25">
      <c r="A23" s="29"/>
      <c r="B23" s="1"/>
      <c r="C23" s="1"/>
      <c r="D23" s="1"/>
      <c r="E23" s="1"/>
      <c r="F23" s="1"/>
      <c r="G23" s="1"/>
      <c r="H23" s="1"/>
      <c r="I23" s="1"/>
      <c r="J23" s="18"/>
      <c r="K23" s="30"/>
      <c r="L23" s="1"/>
    </row>
    <row r="24" spans="1:12" x14ac:dyDescent="0.25">
      <c r="J24" s="18"/>
    </row>
    <row r="25" spans="1:12" x14ac:dyDescent="0.25">
      <c r="A25" t="s">
        <v>16</v>
      </c>
      <c r="F25" t="s">
        <v>17</v>
      </c>
      <c r="J25" s="18"/>
      <c r="K25" t="s">
        <v>25</v>
      </c>
    </row>
    <row r="26" spans="1:12" x14ac:dyDescent="0.25">
      <c r="J26" s="18"/>
    </row>
  </sheetData>
  <mergeCells count="3">
    <mergeCell ref="A1:L1"/>
    <mergeCell ref="A2:L2"/>
    <mergeCell ref="A3:L3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2026-06-27T05:24:02Z</dcterms:modified>
</cp:coreProperties>
</file>