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45347650-9790-4558-93FB-C574ABAD9E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19" i="1" l="1"/>
  <c r="I20" i="1"/>
  <c r="J19" i="1"/>
  <c r="G20" i="1"/>
  <c r="H20" i="1"/>
  <c r="E20" i="1"/>
  <c r="K19" i="1"/>
  <c r="D20" i="1"/>
  <c r="C20" i="1"/>
  <c r="B20" i="1"/>
  <c r="J8" i="1"/>
  <c r="J9" i="1"/>
  <c r="J10" i="1"/>
  <c r="J11" i="1"/>
  <c r="J12" i="1"/>
  <c r="J13" i="1"/>
  <c r="J14" i="1"/>
  <c r="J15" i="1"/>
  <c r="J16" i="1"/>
  <c r="J17" i="1"/>
  <c r="J18" i="1"/>
  <c r="J7" i="1"/>
  <c r="F8" i="1"/>
  <c r="K8" i="1" s="1"/>
  <c r="F9" i="1"/>
  <c r="K9" i="1" s="1"/>
  <c r="F10" i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F7" i="1"/>
  <c r="K10" i="1"/>
  <c r="J20" i="1" l="1"/>
  <c r="F20" i="1"/>
  <c r="K20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<sst xmlns="http://schemas.openxmlformats.org/spreadsheetml/2006/main" count="34" uniqueCount="33">
  <si>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</si>
  <si>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</si>
  <si>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</si>
  <si>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</si>
  <si>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</si>
  <si>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</si>
  <si>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</si>
  <si>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</si>
  <si>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</si>
  <si>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</si>
  <si>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</si>
  <si>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</si>
  <si>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</si>
  <si>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</si>
  <si>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</si>
  <si>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</si>
  <si>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</si>
  <si>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</si>
  <si>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</si>
  <si>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</si>
  <si>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</si>
  <si>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</si>
  <si>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</si>
  <si>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</si>
  <si>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</si>
  <si>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</si>
  <si>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Fulbaria</t>
  </si>
  <si>
    <t>Muktagasa</t>
  </si>
  <si>
    <t>Bakra</t>
  </si>
  <si>
    <t>Jessore</t>
  </si>
  <si>
    <t>Comilla-4H</t>
  </si>
  <si>
    <t>Month of October -2025</t>
  </si>
  <si>
    <t xml:space="preserve">Tarakanda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</si>
</sst>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2" borderId="2" xfId="1" applyFont="1" applyFill="1" applyBorder="1"/>
    <xf numFmtId="43" fontId="6" fillId="2" borderId="7" xfId="1" applyFont="1" applyFill="1" applyBorder="1"/>
    <xf numFmtId="2" fontId="4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7" workbookViewId="0">
      <selection activeCell="L15" sqref="L15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0.25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0.25" x14ac:dyDescent="0.3">
      <c r="A3" s="33" t="s">
        <v>31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28" t="s">
        <v>23</v>
      </c>
      <c r="B7" s="17">
        <v>500000</v>
      </c>
      <c r="C7" s="12">
        <v>1087854</v>
      </c>
      <c r="D7" s="13">
        <v>227160</v>
      </c>
      <c r="E7" s="12">
        <v>47365</v>
      </c>
      <c r="F7" s="12">
        <f>D7-E7</f>
        <v>179795</v>
      </c>
      <c r="G7" s="12">
        <v>3380</v>
      </c>
      <c r="H7" s="12">
        <v>161000</v>
      </c>
      <c r="I7" s="18">
        <v>0</v>
      </c>
      <c r="J7" s="12">
        <f>C7+D7-E7-G7-H7-I7</f>
        <v>1103269</v>
      </c>
      <c r="K7" s="19">
        <f t="shared" ref="K7:K19" si="0">F7*100/B7</f>
        <v>35.959000000000003</v>
      </c>
      <c r="L7" s="14"/>
    </row>
    <row r="8" spans="1:12" x14ac:dyDescent="0.25">
      <c r="A8" s="29" t="s">
        <v>26</v>
      </c>
      <c r="B8" s="12">
        <v>300000</v>
      </c>
      <c r="C8" s="12">
        <v>597071</v>
      </c>
      <c r="D8" s="13">
        <v>147800</v>
      </c>
      <c r="E8" s="15">
        <v>27550</v>
      </c>
      <c r="F8" s="12">
        <f t="shared" ref="F8:F19" si="1">D8-E8</f>
        <v>120250</v>
      </c>
      <c r="G8" s="12">
        <v>445</v>
      </c>
      <c r="H8" s="12">
        <v>86280</v>
      </c>
      <c r="I8" s="12">
        <v>0</v>
      </c>
      <c r="J8" s="12">
        <f t="shared" ref="J8:J19" si="2">C8+D8-E8-G8-H8-I8</f>
        <v>630596</v>
      </c>
      <c r="K8" s="19">
        <f>F8*100/B8</f>
        <v>40.083333333333336</v>
      </c>
      <c r="L8" s="14"/>
    </row>
    <row r="9" spans="1:12" x14ac:dyDescent="0.25">
      <c r="A9" s="29" t="s">
        <v>27</v>
      </c>
      <c r="B9" s="12">
        <v>350000</v>
      </c>
      <c r="C9" s="12">
        <v>923965</v>
      </c>
      <c r="D9" s="13">
        <v>96945</v>
      </c>
      <c r="E9" s="15">
        <v>0</v>
      </c>
      <c r="F9" s="12">
        <f t="shared" si="1"/>
        <v>96945</v>
      </c>
      <c r="G9" s="12">
        <v>0</v>
      </c>
      <c r="H9" s="12">
        <v>112000</v>
      </c>
      <c r="I9" s="12">
        <v>0</v>
      </c>
      <c r="J9" s="12">
        <f t="shared" si="2"/>
        <v>908910</v>
      </c>
      <c r="K9" s="19">
        <f t="shared" si="0"/>
        <v>27.69857142857143</v>
      </c>
      <c r="L9" s="14"/>
    </row>
    <row r="10" spans="1:12" x14ac:dyDescent="0.25">
      <c r="A10" s="28" t="s">
        <v>24</v>
      </c>
      <c r="B10" s="17">
        <v>250000</v>
      </c>
      <c r="C10" s="12"/>
      <c r="D10" s="13"/>
      <c r="E10" s="12"/>
      <c r="F10" s="12">
        <f t="shared" si="1"/>
        <v>0</v>
      </c>
      <c r="G10" s="12"/>
      <c r="H10" s="12"/>
      <c r="I10" s="12"/>
      <c r="J10" s="12">
        <f t="shared" si="2"/>
        <v>0</v>
      </c>
      <c r="K10" s="19">
        <f t="shared" si="0"/>
        <v>0</v>
      </c>
      <c r="L10" s="14"/>
    </row>
    <row r="11" spans="1:12" x14ac:dyDescent="0.25">
      <c r="A11" s="29" t="s">
        <v>14</v>
      </c>
      <c r="B11" s="12">
        <v>550000</v>
      </c>
      <c r="C11" s="12">
        <v>2297184</v>
      </c>
      <c r="D11" s="13">
        <v>580500</v>
      </c>
      <c r="E11" s="15">
        <v>0</v>
      </c>
      <c r="F11" s="12">
        <f t="shared" si="1"/>
        <v>580500</v>
      </c>
      <c r="G11" s="12">
        <v>12848</v>
      </c>
      <c r="H11" s="12">
        <v>420430</v>
      </c>
      <c r="I11" s="12">
        <v>0</v>
      </c>
      <c r="J11" s="12">
        <f t="shared" si="2"/>
        <v>2444406</v>
      </c>
      <c r="K11" s="19">
        <f t="shared" si="0"/>
        <v>105.54545454545455</v>
      </c>
      <c r="L11" s="14"/>
    </row>
    <row r="12" spans="1:12" x14ac:dyDescent="0.25">
      <c r="A12" s="29" t="s">
        <v>18</v>
      </c>
      <c r="B12" s="12">
        <v>500000</v>
      </c>
      <c r="C12" s="12">
        <v>1155520</v>
      </c>
      <c r="D12" s="13">
        <v>108125</v>
      </c>
      <c r="E12" s="12">
        <v>9180</v>
      </c>
      <c r="F12" s="12">
        <f t="shared" si="1"/>
        <v>98945</v>
      </c>
      <c r="G12" s="12">
        <v>2360</v>
      </c>
      <c r="H12" s="12">
        <v>122850</v>
      </c>
      <c r="I12" s="12">
        <v>0</v>
      </c>
      <c r="J12" s="12">
        <f t="shared" si="2"/>
        <v>1129255</v>
      </c>
      <c r="K12" s="19">
        <f t="shared" si="0"/>
        <v>19.789000000000001</v>
      </c>
      <c r="L12" s="14"/>
    </row>
    <row r="13" spans="1:12" x14ac:dyDescent="0.25">
      <c r="A13" s="28" t="s">
        <v>22</v>
      </c>
      <c r="B13" s="17">
        <v>300000</v>
      </c>
      <c r="C13" s="12">
        <v>636273</v>
      </c>
      <c r="D13" s="13">
        <v>53055</v>
      </c>
      <c r="E13" s="12">
        <v>0</v>
      </c>
      <c r="F13" s="12">
        <f t="shared" si="1"/>
        <v>53055</v>
      </c>
      <c r="G13" s="12">
        <v>470</v>
      </c>
      <c r="H13" s="12">
        <v>40230</v>
      </c>
      <c r="I13" s="12">
        <v>0</v>
      </c>
      <c r="J13" s="12">
        <f t="shared" si="2"/>
        <v>648628</v>
      </c>
      <c r="K13" s="19">
        <f t="shared" si="0"/>
        <v>17.684999999999999</v>
      </c>
      <c r="L13" s="14"/>
    </row>
    <row r="14" spans="1:12" x14ac:dyDescent="0.25">
      <c r="A14" s="28" t="s">
        <v>30</v>
      </c>
      <c r="B14" s="17">
        <v>350000</v>
      </c>
      <c r="C14" s="12">
        <v>309027</v>
      </c>
      <c r="D14" s="13">
        <v>285020</v>
      </c>
      <c r="E14" s="12">
        <v>0</v>
      </c>
      <c r="F14" s="12">
        <f t="shared" si="1"/>
        <v>285020</v>
      </c>
      <c r="G14" s="12">
        <v>2800</v>
      </c>
      <c r="H14" s="12">
        <v>158300</v>
      </c>
      <c r="I14" s="12">
        <v>0</v>
      </c>
      <c r="J14" s="12">
        <f t="shared" si="2"/>
        <v>432947</v>
      </c>
      <c r="K14" s="19">
        <f t="shared" si="0"/>
        <v>81.434285714285721</v>
      </c>
      <c r="L14" s="14"/>
    </row>
    <row r="15" spans="1:12" x14ac:dyDescent="0.25">
      <c r="A15" s="29" t="s">
        <v>21</v>
      </c>
      <c r="B15" s="12">
        <v>350000</v>
      </c>
      <c r="C15" s="12">
        <v>1474554</v>
      </c>
      <c r="D15" s="13">
        <v>349700</v>
      </c>
      <c r="E15" s="12">
        <v>26410</v>
      </c>
      <c r="F15" s="12">
        <f t="shared" si="1"/>
        <v>323290</v>
      </c>
      <c r="G15" s="12">
        <v>105541</v>
      </c>
      <c r="H15" s="12">
        <v>245500</v>
      </c>
      <c r="I15" s="12">
        <v>0</v>
      </c>
      <c r="J15" s="12">
        <f t="shared" si="2"/>
        <v>1446803</v>
      </c>
      <c r="K15" s="19">
        <f t="shared" si="0"/>
        <v>92.368571428571428</v>
      </c>
      <c r="L15" s="14"/>
    </row>
    <row r="16" spans="1:12" x14ac:dyDescent="0.25">
      <c r="A16" s="29" t="s">
        <v>19</v>
      </c>
      <c r="B16" s="12">
        <v>350000</v>
      </c>
      <c r="C16" s="12">
        <v>1371438</v>
      </c>
      <c r="D16" s="13">
        <v>52010</v>
      </c>
      <c r="E16" s="12">
        <v>13269</v>
      </c>
      <c r="F16" s="12">
        <f t="shared" si="1"/>
        <v>38741</v>
      </c>
      <c r="G16" s="12">
        <v>11011</v>
      </c>
      <c r="H16" s="12">
        <v>104220</v>
      </c>
      <c r="I16" s="12">
        <v>0</v>
      </c>
      <c r="J16" s="12">
        <f t="shared" si="2"/>
        <v>1294948</v>
      </c>
      <c r="K16" s="19">
        <f t="shared" si="0"/>
        <v>11.068857142857143</v>
      </c>
      <c r="L16" s="14"/>
    </row>
    <row r="17" spans="1:12" x14ac:dyDescent="0.25">
      <c r="A17" s="28" t="s">
        <v>29</v>
      </c>
      <c r="B17" s="17">
        <v>350000</v>
      </c>
      <c r="C17" s="12">
        <v>2660090</v>
      </c>
      <c r="D17" s="13">
        <v>208320</v>
      </c>
      <c r="E17" s="12">
        <v>385010</v>
      </c>
      <c r="F17" s="12">
        <f t="shared" si="1"/>
        <v>-176690</v>
      </c>
      <c r="G17" s="12">
        <v>0</v>
      </c>
      <c r="H17" s="12">
        <v>0</v>
      </c>
      <c r="I17" s="18"/>
      <c r="J17" s="12">
        <f t="shared" si="2"/>
        <v>2483400</v>
      </c>
      <c r="K17" s="19">
        <f>F17*100/B17</f>
        <v>-50.482857142857142</v>
      </c>
      <c r="L17" s="14"/>
    </row>
    <row r="18" spans="1:12" x14ac:dyDescent="0.25">
      <c r="A18" s="28" t="s">
        <v>28</v>
      </c>
      <c r="B18" s="17">
        <v>300000</v>
      </c>
      <c r="C18" s="12">
        <v>322763</v>
      </c>
      <c r="D18" s="13">
        <v>149600</v>
      </c>
      <c r="E18" s="12">
        <v>3550</v>
      </c>
      <c r="F18" s="12">
        <f t="shared" si="1"/>
        <v>146050</v>
      </c>
      <c r="G18" s="12">
        <v>8264</v>
      </c>
      <c r="H18" s="12">
        <v>123500</v>
      </c>
      <c r="I18" s="12">
        <v>0</v>
      </c>
      <c r="J18" s="12">
        <f t="shared" si="2"/>
        <v>337049</v>
      </c>
      <c r="K18" s="19">
        <f t="shared" si="0"/>
        <v>48.68333333333333</v>
      </c>
      <c r="L18" s="14"/>
    </row>
    <row r="19" spans="1:12" x14ac:dyDescent="0.25">
      <c r="A19" s="28" t="s">
        <v>32</v>
      </c>
      <c r="B19" s="17">
        <v>250000</v>
      </c>
      <c r="C19" s="12"/>
      <c r="D19" s="13"/>
      <c r="E19" s="12"/>
      <c r="F19" s="12">
        <f t="shared" si="1"/>
        <v>0</v>
      </c>
      <c r="G19" s="12"/>
      <c r="H19" s="12"/>
      <c r="I19" s="12"/>
      <c r="J19" s="12">
        <f t="shared" si="2"/>
        <v>0</v>
      </c>
      <c r="K19" s="19">
        <f t="shared" si="0"/>
        <v>0</v>
      </c>
      <c r="L19" s="14"/>
    </row>
    <row r="20" spans="1:12" x14ac:dyDescent="0.25">
      <c r="A20" s="20" t="s">
        <v>15</v>
      </c>
      <c r="B20" s="20">
        <f t="shared" ref="B20:J20" si="3">SUM(B7:B19)</f>
        <v>4700000</v>
      </c>
      <c r="C20" s="20">
        <f t="shared" si="3"/>
        <v>12835739</v>
      </c>
      <c r="D20" s="21">
        <f t="shared" si="3"/>
        <v>2258235</v>
      </c>
      <c r="E20" s="20">
        <f t="shared" si="3"/>
        <v>512334</v>
      </c>
      <c r="F20" s="20">
        <f t="shared" si="3"/>
        <v>1745901</v>
      </c>
      <c r="G20" s="20">
        <f t="shared" si="3"/>
        <v>147119</v>
      </c>
      <c r="H20" s="20">
        <f t="shared" si="3"/>
        <v>1574310</v>
      </c>
      <c r="I20" s="20">
        <f t="shared" si="3"/>
        <v>0</v>
      </c>
      <c r="J20" s="20">
        <f t="shared" si="3"/>
        <v>12860211</v>
      </c>
      <c r="K20" s="30">
        <f>F20*100/B20</f>
        <v>37.14682978723404</v>
      </c>
      <c r="L20" s="22"/>
    </row>
    <row r="21" spans="1:12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4"/>
      <c r="K21" s="25"/>
      <c r="L21" s="25"/>
    </row>
    <row r="22" spans="1:12" ht="13.5" customHeight="1" x14ac:dyDescent="0.25">
      <c r="A22" s="26"/>
      <c r="B22" s="1"/>
      <c r="C22" s="1"/>
      <c r="D22" s="1"/>
      <c r="E22" s="1"/>
      <c r="F22" s="1"/>
      <c r="G22" s="1"/>
      <c r="H22" s="1"/>
      <c r="I22" s="1"/>
      <c r="J22" s="16"/>
      <c r="K22" s="27"/>
      <c r="L22" s="1"/>
    </row>
    <row r="23" spans="1:12" x14ac:dyDescent="0.25">
      <c r="J23" s="16"/>
    </row>
    <row r="24" spans="1:12" x14ac:dyDescent="0.25">
      <c r="A24" t="s">
        <v>16</v>
      </c>
      <c r="F24" t="s">
        <v>17</v>
      </c>
      <c r="J24" s="16"/>
      <c r="K24" t="s">
        <v>25</v>
      </c>
    </row>
    <row r="25" spans="1:12" x14ac:dyDescent="0.25">
      <c r="J25" s="16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2025-11-09T12:42:07Z</dcterms:modified>
</cp:coreProperties>
</file>