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4A7C353D-5C32-444B-8A03-41B69ECB09A8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8" i="1" l="1"/>
  <c r="F9" i="1"/>
  <c r="F10" i="1"/>
  <c r="F11" i="1"/>
  <c r="K11" i="1" s="1"/>
  <c r="F12" i="1"/>
  <c r="F13" i="1"/>
  <c r="F14" i="1"/>
  <c r="F15" i="1"/>
  <c r="F16" i="1"/>
  <c r="F17" i="1"/>
  <c r="F18" i="1"/>
  <c r="F7" i="1"/>
  <c r="C21" i="1"/>
  <c r="K9" i="1"/>
  <c r="K10" i="1"/>
  <c r="J10" i="1"/>
  <c r="J11" i="1"/>
  <c r="J9" i="1"/>
  <c r="J8" i="1"/>
  <c r="J7" i="1"/>
  <c r="J12" i="1"/>
  <c r="K12" i="1"/>
  <c r="K13" i="1"/>
  <c r="J13" i="1"/>
  <c r="J16" i="1"/>
  <c r="K16" i="1"/>
  <c r="D21" i="1" l="1"/>
  <c r="K14" i="1"/>
  <c r="J14" i="1"/>
  <c r="K8" i="1"/>
  <c r="K7" i="1"/>
  <c r="I21" i="1"/>
  <c r="H21" i="1"/>
  <c r="G21" i="1"/>
  <c r="F21" i="1"/>
  <c r="E21" i="1"/>
  <c r="B21" i="1"/>
  <c r="K18" i="1"/>
  <c r="J18" i="1"/>
  <c r="K17" i="1"/>
  <c r="J17" i="1"/>
  <c r="K15" i="1"/>
  <c r="J15" i="1"/>
  <c r="J21" i="1" l="1"/>
  <c r="K21" i="1"/>
</calcChain>
</file>

<file path=xl/sharedStrings.xml><?xml version="1.0" encoding="utf-8"?>
<sst xmlns="http://schemas.openxmlformats.org/spreadsheetml/2006/main" count="33" uniqueCount="32">
  <si>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</si>
  <si>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</si>
  <si>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</si>
  <si>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</si>
  <si>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</si>
  <si>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</si>
  <si>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</si>
  <si>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</si>
  <si>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</si>
  <si>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</si>
  <si>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</si>
  <si>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</si>
  <si>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</si>
  <si>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</si>
  <si>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</si>
  <si>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</si>
  <si>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</si>
  <si>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</si>
  <si>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</si>
  <si>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</si>
  <si>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</si>
  <si>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</si>
  <si>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</si>
  <si>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</si>
  <si>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</si>
  <si>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</si>
  <si>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Netrakona</t>
  </si>
  <si>
    <t>Fulbaria</t>
  </si>
  <si>
    <t>Muktagasa</t>
  </si>
  <si>
    <t>Bakra</t>
  </si>
  <si>
    <t>Jessore</t>
  </si>
  <si>
    <t>Month of May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</si>
</sst>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2" borderId="2" xfId="1" applyFont="1" applyFill="1" applyBorder="1"/>
    <xf numFmtId="43" fontId="6" fillId="2" borderId="7" xfId="1" applyFont="1" applyFill="1" applyBorder="1"/>
    <xf numFmtId="43" fontId="7" fillId="0" borderId="2" xfId="1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B3" zoomScaleNormal="100" workbookViewId="0">
      <selection activeCell="F7" sqref="F7:F18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0.25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4" t="s">
        <v>31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23</v>
      </c>
      <c r="B7" s="19">
        <v>400000</v>
      </c>
      <c r="C7" s="13">
        <v>556179</v>
      </c>
      <c r="D7" s="14">
        <v>346010</v>
      </c>
      <c r="E7" s="13">
        <v>83060</v>
      </c>
      <c r="F7" s="13">
        <f>D7-E7</f>
        <v>262950</v>
      </c>
      <c r="G7" s="13">
        <v>770</v>
      </c>
      <c r="H7" s="13">
        <v>238000</v>
      </c>
      <c r="I7" s="20"/>
      <c r="J7" s="13">
        <f>C7+D7-E7-G7-H7-I7</f>
        <v>580359</v>
      </c>
      <c r="K7" s="21">
        <f t="shared" ref="K7:K12" si="0">F7*100/B7</f>
        <v>65.737499999999997</v>
      </c>
      <c r="L7" s="15"/>
    </row>
    <row r="8" spans="1:12" x14ac:dyDescent="0.25">
      <c r="A8" s="32" t="s">
        <v>27</v>
      </c>
      <c r="B8" s="13">
        <v>200000</v>
      </c>
      <c r="C8" s="13">
        <v>295105</v>
      </c>
      <c r="D8" s="14">
        <v>93950</v>
      </c>
      <c r="E8" s="16"/>
      <c r="F8" s="13">
        <f t="shared" ref="F8:F18" si="1">D8-E8</f>
        <v>93950</v>
      </c>
      <c r="G8" s="13">
        <v>1780</v>
      </c>
      <c r="H8" s="13">
        <v>53400</v>
      </c>
      <c r="I8" s="13"/>
      <c r="J8" s="12">
        <f>C8+D8-E8-G8-H8-I8</f>
        <v>333875</v>
      </c>
      <c r="K8" s="17">
        <f t="shared" si="0"/>
        <v>46.975000000000001</v>
      </c>
      <c r="L8" s="15"/>
    </row>
    <row r="9" spans="1:12" x14ac:dyDescent="0.25">
      <c r="A9" s="32" t="s">
        <v>28</v>
      </c>
      <c r="B9" s="13">
        <v>350000</v>
      </c>
      <c r="C9" s="13">
        <v>847104</v>
      </c>
      <c r="D9" s="14">
        <v>228985</v>
      </c>
      <c r="E9" s="16">
        <v>7050</v>
      </c>
      <c r="F9" s="13">
        <f t="shared" si="1"/>
        <v>221935</v>
      </c>
      <c r="G9" s="13">
        <v>77350</v>
      </c>
      <c r="H9" s="13">
        <v>143000</v>
      </c>
      <c r="I9" s="13"/>
      <c r="J9" s="12">
        <f>C9+D9-E9-G9-H9-I9</f>
        <v>848689</v>
      </c>
      <c r="K9" s="17">
        <f t="shared" si="0"/>
        <v>63.41</v>
      </c>
      <c r="L9" s="15"/>
    </row>
    <row r="10" spans="1:12" x14ac:dyDescent="0.25">
      <c r="A10" s="31" t="s">
        <v>26</v>
      </c>
      <c r="B10" s="19">
        <v>250000</v>
      </c>
      <c r="C10" s="13">
        <v>49135</v>
      </c>
      <c r="D10" s="14">
        <v>49410</v>
      </c>
      <c r="E10" s="13">
        <v>74270</v>
      </c>
      <c r="F10" s="13">
        <f t="shared" si="1"/>
        <v>-24860</v>
      </c>
      <c r="G10" s="13">
        <v>4000</v>
      </c>
      <c r="H10" s="13">
        <v>4000</v>
      </c>
      <c r="I10" s="13">
        <v>0</v>
      </c>
      <c r="J10" s="12">
        <f>C10+D10-E10-G10-H10</f>
        <v>16275</v>
      </c>
      <c r="K10" s="17">
        <f t="shared" si="0"/>
        <v>-9.9440000000000008</v>
      </c>
      <c r="L10" s="15"/>
    </row>
    <row r="11" spans="1:12" x14ac:dyDescent="0.25">
      <c r="A11" s="31" t="s">
        <v>24</v>
      </c>
      <c r="B11" s="19">
        <v>250000</v>
      </c>
      <c r="C11" s="13">
        <v>231313</v>
      </c>
      <c r="D11" s="14">
        <v>21700</v>
      </c>
      <c r="E11" s="13">
        <v>4420</v>
      </c>
      <c r="F11" s="13">
        <f t="shared" si="1"/>
        <v>17280</v>
      </c>
      <c r="G11" s="13">
        <v>740</v>
      </c>
      <c r="H11" s="13">
        <v>22915</v>
      </c>
      <c r="I11" s="13">
        <v>0</v>
      </c>
      <c r="J11" s="12">
        <f>C11+D11-E11-G11-H11</f>
        <v>224938</v>
      </c>
      <c r="K11" s="17">
        <f t="shared" si="0"/>
        <v>6.9119999999999999</v>
      </c>
      <c r="L11" s="15"/>
    </row>
    <row r="12" spans="1:12" x14ac:dyDescent="0.25">
      <c r="A12" s="32" t="s">
        <v>14</v>
      </c>
      <c r="B12" s="13">
        <v>450000</v>
      </c>
      <c r="C12" s="13">
        <v>1614873</v>
      </c>
      <c r="D12" s="14">
        <v>419990</v>
      </c>
      <c r="E12" s="16">
        <v>3068</v>
      </c>
      <c r="F12" s="13">
        <f t="shared" si="1"/>
        <v>416922</v>
      </c>
      <c r="G12" s="13">
        <v>2210</v>
      </c>
      <c r="H12" s="13">
        <v>351395</v>
      </c>
      <c r="I12" s="13">
        <v>0</v>
      </c>
      <c r="J12" s="12">
        <f>C12+D12-E12-G12-H12</f>
        <v>1678190</v>
      </c>
      <c r="K12" s="17">
        <f t="shared" si="0"/>
        <v>92.649333333333331</v>
      </c>
      <c r="L12" s="15"/>
    </row>
    <row r="13" spans="1:12" x14ac:dyDescent="0.25">
      <c r="A13" s="32" t="s">
        <v>18</v>
      </c>
      <c r="B13" s="13">
        <v>300000</v>
      </c>
      <c r="C13" s="13">
        <v>999860</v>
      </c>
      <c r="D13" s="14">
        <v>152880</v>
      </c>
      <c r="E13" s="13"/>
      <c r="F13" s="13">
        <f t="shared" si="1"/>
        <v>152880</v>
      </c>
      <c r="G13" s="13">
        <v>1390</v>
      </c>
      <c r="H13" s="13">
        <v>134900</v>
      </c>
      <c r="I13" s="13">
        <v>0</v>
      </c>
      <c r="J13" s="13">
        <f t="shared" ref="J13" si="2">C13+D13-E13-G13-H13</f>
        <v>1016450</v>
      </c>
      <c r="K13" s="17">
        <f t="shared" ref="K13" si="3">(D13-E13)*100/B13</f>
        <v>50.96</v>
      </c>
      <c r="L13" s="15"/>
    </row>
    <row r="14" spans="1:12" x14ac:dyDescent="0.25">
      <c r="A14" s="31" t="s">
        <v>22</v>
      </c>
      <c r="B14" s="19">
        <v>200000</v>
      </c>
      <c r="C14" s="13">
        <v>604409</v>
      </c>
      <c r="D14" s="14">
        <v>50790</v>
      </c>
      <c r="E14" s="13"/>
      <c r="F14" s="13">
        <f t="shared" si="1"/>
        <v>50790</v>
      </c>
      <c r="G14" s="13">
        <v>90</v>
      </c>
      <c r="H14" s="13">
        <v>31210</v>
      </c>
      <c r="I14" s="13">
        <v>0</v>
      </c>
      <c r="J14" s="12">
        <f>C14+D14-E14-G14-H14</f>
        <v>623899</v>
      </c>
      <c r="K14" s="17">
        <f>F14*100/B14</f>
        <v>25.395</v>
      </c>
      <c r="L14" s="15"/>
    </row>
    <row r="15" spans="1:12" x14ac:dyDescent="0.25">
      <c r="A15" s="32" t="s">
        <v>21</v>
      </c>
      <c r="B15" s="13">
        <v>300000</v>
      </c>
      <c r="C15" s="13">
        <v>1281170</v>
      </c>
      <c r="D15" s="14">
        <v>322640</v>
      </c>
      <c r="E15" s="13"/>
      <c r="F15" s="13">
        <f t="shared" si="1"/>
        <v>322640</v>
      </c>
      <c r="G15" s="13">
        <v>22584</v>
      </c>
      <c r="H15" s="13">
        <v>267000</v>
      </c>
      <c r="I15" s="13">
        <v>0</v>
      </c>
      <c r="J15" s="13">
        <f t="shared" ref="J15" si="4">C15+D15-E15-G15-H15</f>
        <v>1314226</v>
      </c>
      <c r="K15" s="17">
        <f t="shared" ref="K15" si="5">(D15-E15)*100/B15</f>
        <v>107.54666666666667</v>
      </c>
      <c r="L15" s="15"/>
    </row>
    <row r="16" spans="1:12" x14ac:dyDescent="0.25">
      <c r="A16" s="32" t="s">
        <v>19</v>
      </c>
      <c r="B16" s="13">
        <v>600000</v>
      </c>
      <c r="C16" s="13">
        <v>994581</v>
      </c>
      <c r="D16" s="14">
        <v>181335</v>
      </c>
      <c r="E16" s="13"/>
      <c r="F16" s="13">
        <f t="shared" si="1"/>
        <v>181335</v>
      </c>
      <c r="G16" s="13">
        <v>5629</v>
      </c>
      <c r="H16" s="13">
        <v>108030</v>
      </c>
      <c r="I16" s="13">
        <v>0</v>
      </c>
      <c r="J16" s="13">
        <f>C16+D16-E16-G16-H16</f>
        <v>1062257</v>
      </c>
      <c r="K16" s="17">
        <f t="shared" ref="K16" si="6">(D16-E16)*100/B16</f>
        <v>30.2225</v>
      </c>
      <c r="L16" s="15"/>
    </row>
    <row r="17" spans="1:12" x14ac:dyDescent="0.25">
      <c r="A17" s="31" t="s">
        <v>30</v>
      </c>
      <c r="B17" s="19">
        <v>400000</v>
      </c>
      <c r="C17" s="13">
        <v>665640</v>
      </c>
      <c r="D17" s="14">
        <v>117490</v>
      </c>
      <c r="E17" s="13"/>
      <c r="F17" s="13">
        <f t="shared" si="1"/>
        <v>117490</v>
      </c>
      <c r="G17" s="13">
        <v>1530</v>
      </c>
      <c r="H17" s="13">
        <v>35500</v>
      </c>
      <c r="I17" s="20">
        <v>0</v>
      </c>
      <c r="J17" s="13">
        <f>C17+D17-E17-G17-H17-I17</f>
        <v>746100</v>
      </c>
      <c r="K17" s="21">
        <f>F17*100/B17</f>
        <v>29.372499999999999</v>
      </c>
      <c r="L17" s="15"/>
    </row>
    <row r="18" spans="1:12" x14ac:dyDescent="0.25">
      <c r="A18" s="31" t="s">
        <v>29</v>
      </c>
      <c r="B18" s="19">
        <v>300000</v>
      </c>
      <c r="C18" s="13">
        <v>48734</v>
      </c>
      <c r="D18" s="14">
        <v>105267</v>
      </c>
      <c r="E18" s="13"/>
      <c r="F18" s="13">
        <f t="shared" si="1"/>
        <v>105267</v>
      </c>
      <c r="G18" s="13">
        <v>4298</v>
      </c>
      <c r="H18" s="13">
        <v>93900</v>
      </c>
      <c r="I18" s="13">
        <v>0</v>
      </c>
      <c r="J18" s="12">
        <f>C18+D18-E18-G18-H18</f>
        <v>55803</v>
      </c>
      <c r="K18" s="17">
        <f>F18*100/B18</f>
        <v>35.088999999999999</v>
      </c>
      <c r="L18" s="15"/>
    </row>
    <row r="19" spans="1:12" x14ac:dyDescent="0.25">
      <c r="A19" s="33"/>
      <c r="B19" s="19"/>
      <c r="C19" s="13"/>
      <c r="D19" s="14"/>
      <c r="E19" s="13"/>
      <c r="F19" s="13"/>
      <c r="G19" s="13"/>
      <c r="H19" s="13"/>
      <c r="I19" s="13">
        <v>0</v>
      </c>
      <c r="J19" s="13"/>
      <c r="K19" s="17"/>
      <c r="L19" s="15"/>
    </row>
    <row r="20" spans="1:12" x14ac:dyDescent="0.25">
      <c r="A20" s="19"/>
      <c r="B20" s="19"/>
      <c r="C20" s="13"/>
      <c r="D20" s="14"/>
      <c r="E20" s="13"/>
      <c r="F20" s="13"/>
      <c r="G20" s="13"/>
      <c r="H20" s="13"/>
      <c r="I20" s="13">
        <v>0</v>
      </c>
      <c r="J20" s="13"/>
      <c r="K20" s="17"/>
      <c r="L20" s="15"/>
    </row>
    <row r="21" spans="1:12" x14ac:dyDescent="0.25">
      <c r="A21" s="22" t="s">
        <v>15</v>
      </c>
      <c r="B21" s="22">
        <f t="shared" ref="B21:J21" si="7">SUM(B7:B20)</f>
        <v>4000000</v>
      </c>
      <c r="C21" s="22">
        <f>SUM(C7:C20)</f>
        <v>8188103</v>
      </c>
      <c r="D21" s="23">
        <f>SUM(D7:D20)</f>
        <v>2090447</v>
      </c>
      <c r="E21" s="22">
        <f>SUM(E7:E20)</f>
        <v>171868</v>
      </c>
      <c r="F21" s="22">
        <f t="shared" si="7"/>
        <v>1918579</v>
      </c>
      <c r="G21" s="22">
        <f>SUM(G7:G20)</f>
        <v>122371</v>
      </c>
      <c r="H21" s="22">
        <f>SUM(H7:H20)</f>
        <v>1483250</v>
      </c>
      <c r="I21" s="22">
        <f t="shared" si="7"/>
        <v>0</v>
      </c>
      <c r="J21" s="22">
        <f t="shared" si="7"/>
        <v>8501061</v>
      </c>
      <c r="K21" s="24">
        <f>(D21-E21)*100/B21</f>
        <v>47.964475</v>
      </c>
      <c r="L21" s="25"/>
    </row>
    <row r="22" spans="1:12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8"/>
      <c r="L22" s="28"/>
    </row>
    <row r="23" spans="1:12" ht="13.5" customHeight="1" x14ac:dyDescent="0.25">
      <c r="A23" s="29"/>
      <c r="B23" s="1"/>
      <c r="C23" s="1"/>
      <c r="D23" s="1"/>
      <c r="E23" s="1"/>
      <c r="F23" s="1"/>
      <c r="G23" s="1"/>
      <c r="H23" s="1"/>
      <c r="I23" s="1"/>
      <c r="J23" s="18"/>
      <c r="K23" s="30"/>
      <c r="L23" s="1"/>
    </row>
    <row r="24" spans="1:12" x14ac:dyDescent="0.25">
      <c r="J24" s="18"/>
    </row>
    <row r="25" spans="1:12" x14ac:dyDescent="0.25">
      <c r="A25" t="s">
        <v>16</v>
      </c>
      <c r="F25" t="s">
        <v>17</v>
      </c>
      <c r="J25" s="18"/>
      <c r="K25" t="s">
        <v>25</v>
      </c>
    </row>
    <row r="26" spans="1:12" x14ac:dyDescent="0.25">
      <c r="J26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2025-11-01T05:30:03Z</dcterms:modified>
</cp:coreProperties>
</file>