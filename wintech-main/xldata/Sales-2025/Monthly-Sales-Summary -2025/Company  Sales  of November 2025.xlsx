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B5569ACA-4F18-4832-BECC-938220368869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C20" i="1" l="1"/>
  <c r="J20" i="1" l="1"/>
  <c r="H20" i="1"/>
  <c r="G20" i="1"/>
  <c r="F20" i="1"/>
  <c r="E20" i="1"/>
  <c r="D20" i="1"/>
  <c r="I20" i="1"/>
  <c r="B20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F16" i="1"/>
  <c r="F11" i="1"/>
  <c r="F8" i="1"/>
  <c r="F9" i="1"/>
  <c r="F10" i="1"/>
  <c r="F12" i="1"/>
  <c r="F13" i="1"/>
  <c r="F14" i="1"/>
  <c r="F15" i="1"/>
  <c r="F17" i="1"/>
  <c r="F18" i="1"/>
  <c r="F19" i="1"/>
  <c r="F7" i="1"/>
  <c r="K19" i="1" l="1"/>
  <c r="K8" i="1"/>
  <c r="K9" i="1"/>
  <c r="K11" i="1"/>
  <c r="K12" i="1"/>
  <c r="K13" i="1"/>
  <c r="K14" i="1"/>
  <c r="K15" i="1"/>
  <c r="K16" i="1"/>
  <c r="K17" i="1"/>
  <c r="K18" i="1"/>
  <c r="K10" i="1"/>
  <c r="K20" i="1" l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<sst xmlns="http://schemas.openxmlformats.org/spreadsheetml/2006/main" count="34" uniqueCount="33">
  <si>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</si>
  <si>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</si>
  <si>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</si>
  <si>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</si>
  <si>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</si>
  <si>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</si>
  <si>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</si>
  <si>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</si>
  <si>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</si>
  <si>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</si>
  <si>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</si>
  <si>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</si>
  <si>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</si>
  <si>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</si>
  <si>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</si>
  <si>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</si>
  <si>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</si>
  <si>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</si>
  <si>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</si>
  <si>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</si>
  <si>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</si>
  <si>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</si>
  <si>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</si>
  <si>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</si>
  <si>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</si>
  <si>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</si>
  <si>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Fulbaria</t>
  </si>
  <si>
    <t>Muktagasa</t>
  </si>
  <si>
    <t>Bakra</t>
  </si>
  <si>
    <t>Jessore</t>
  </si>
  <si>
    <t>Comilla-4H</t>
  </si>
  <si>
    <t xml:space="preserve">Tarakanda </t>
  </si>
  <si>
    <t>Month of November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</si>
</sst>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view="pageLayout" topLeftCell="G13" zoomScaleNormal="115" workbookViewId="0">
      <selection activeCell="H22" sqref="H22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6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23</v>
      </c>
      <c r="B7" s="14">
        <v>400000</v>
      </c>
      <c r="C7" s="15">
        <v>1103269</v>
      </c>
      <c r="D7" s="16">
        <v>116500</v>
      </c>
      <c r="E7" s="15">
        <v>91400</v>
      </c>
      <c r="F7" s="15">
        <f>D7-E7</f>
        <v>25100</v>
      </c>
      <c r="G7" s="15">
        <v>176164</v>
      </c>
      <c r="H7" s="15">
        <v>406000</v>
      </c>
      <c r="I7" s="17">
        <v>0</v>
      </c>
      <c r="J7" s="15">
        <f>C7+D7-E7-G7-H7-I7</f>
        <v>546205</v>
      </c>
      <c r="K7" s="18">
        <f t="shared" ref="K7:K19" si="0">F7*100/B7</f>
        <v>6.2750000000000004</v>
      </c>
      <c r="L7" s="19"/>
    </row>
    <row r="8" spans="1:12" s="20" customFormat="1" ht="18" customHeight="1" x14ac:dyDescent="0.25">
      <c r="A8" s="21" t="s">
        <v>26</v>
      </c>
      <c r="B8" s="15">
        <v>300000</v>
      </c>
      <c r="C8" s="15">
        <v>630596</v>
      </c>
      <c r="D8" s="16">
        <v>109885</v>
      </c>
      <c r="E8" s="22">
        <v>0</v>
      </c>
      <c r="F8" s="15">
        <f t="shared" ref="F8:F19" si="1">D8-E8</f>
        <v>109885</v>
      </c>
      <c r="G8" s="15">
        <v>3810</v>
      </c>
      <c r="H8" s="15">
        <v>79720</v>
      </c>
      <c r="I8" s="15">
        <v>0</v>
      </c>
      <c r="J8" s="15">
        <f t="shared" ref="J8:J19" si="2">C8+D8-E8-G8-H8-I8</f>
        <v>656951</v>
      </c>
      <c r="K8" s="18">
        <f>F8*100/B8</f>
        <v>36.62833333333333</v>
      </c>
      <c r="L8" s="19"/>
    </row>
    <row r="9" spans="1:12" s="20" customFormat="1" ht="18" customHeight="1" x14ac:dyDescent="0.25">
      <c r="A9" s="21" t="s">
        <v>27</v>
      </c>
      <c r="B9" s="15">
        <v>350000</v>
      </c>
      <c r="C9" s="15">
        <v>908910</v>
      </c>
      <c r="D9" s="16">
        <v>12550</v>
      </c>
      <c r="E9" s="22">
        <v>0</v>
      </c>
      <c r="F9" s="15">
        <f t="shared" si="1"/>
        <v>12550</v>
      </c>
      <c r="G9" s="15">
        <v>0</v>
      </c>
      <c r="H9" s="15">
        <v>15000</v>
      </c>
      <c r="I9" s="15">
        <v>0</v>
      </c>
      <c r="J9" s="15">
        <f t="shared" si="2"/>
        <v>906460</v>
      </c>
      <c r="K9" s="18">
        <f t="shared" si="0"/>
        <v>3.5857142857142859</v>
      </c>
      <c r="L9" s="19"/>
    </row>
    <row r="10" spans="1:12" s="20" customFormat="1" ht="18" customHeight="1" x14ac:dyDescent="0.25">
      <c r="A10" s="13" t="s">
        <v>24</v>
      </c>
      <c r="B10" s="14">
        <v>250000</v>
      </c>
      <c r="C10" s="15">
        <v>535284</v>
      </c>
      <c r="D10" s="16">
        <v>0</v>
      </c>
      <c r="E10" s="15">
        <v>0</v>
      </c>
      <c r="F10" s="15">
        <f t="shared" si="1"/>
        <v>0</v>
      </c>
      <c r="G10" s="15">
        <v>0</v>
      </c>
      <c r="H10" s="15">
        <v>0</v>
      </c>
      <c r="I10" s="15">
        <v>0</v>
      </c>
      <c r="J10" s="15">
        <f t="shared" si="2"/>
        <v>535284</v>
      </c>
      <c r="K10" s="18">
        <f t="shared" si="0"/>
        <v>0</v>
      </c>
      <c r="L10" s="19"/>
    </row>
    <row r="11" spans="1:12" s="20" customFormat="1" ht="18" customHeight="1" x14ac:dyDescent="0.25">
      <c r="A11" s="21" t="s">
        <v>14</v>
      </c>
      <c r="B11" s="15">
        <v>550000</v>
      </c>
      <c r="C11" s="15">
        <v>2444406</v>
      </c>
      <c r="D11" s="16">
        <v>372570</v>
      </c>
      <c r="E11" s="22">
        <v>0</v>
      </c>
      <c r="F11" s="15">
        <f>D11-E11</f>
        <v>372570</v>
      </c>
      <c r="G11" s="15">
        <v>11044</v>
      </c>
      <c r="H11" s="15">
        <v>413164</v>
      </c>
      <c r="I11" s="15">
        <v>0</v>
      </c>
      <c r="J11" s="15">
        <f t="shared" si="2"/>
        <v>2392768</v>
      </c>
      <c r="K11" s="18">
        <f t="shared" si="0"/>
        <v>67.739999999999995</v>
      </c>
      <c r="L11" s="19"/>
    </row>
    <row r="12" spans="1:12" s="20" customFormat="1" ht="18" customHeight="1" x14ac:dyDescent="0.25">
      <c r="A12" s="21" t="s">
        <v>18</v>
      </c>
      <c r="B12" s="15">
        <v>350000</v>
      </c>
      <c r="C12" s="15">
        <v>1129255</v>
      </c>
      <c r="D12" s="16">
        <v>32685</v>
      </c>
      <c r="E12" s="15">
        <v>22745</v>
      </c>
      <c r="F12" s="15">
        <f t="shared" si="1"/>
        <v>9940</v>
      </c>
      <c r="G12" s="15">
        <v>34520</v>
      </c>
      <c r="H12" s="15">
        <v>121230</v>
      </c>
      <c r="I12" s="15">
        <v>0</v>
      </c>
      <c r="J12" s="15">
        <f t="shared" si="2"/>
        <v>983445</v>
      </c>
      <c r="K12" s="18">
        <f t="shared" si="0"/>
        <v>2.84</v>
      </c>
      <c r="L12" s="19"/>
    </row>
    <row r="13" spans="1:12" s="20" customFormat="1" ht="18" customHeight="1" x14ac:dyDescent="0.25">
      <c r="A13" s="13" t="s">
        <v>22</v>
      </c>
      <c r="B13" s="14">
        <v>300000</v>
      </c>
      <c r="C13" s="15">
        <v>648628</v>
      </c>
      <c r="D13" s="16">
        <v>29610</v>
      </c>
      <c r="E13" s="15">
        <v>0</v>
      </c>
      <c r="F13" s="15">
        <f t="shared" si="1"/>
        <v>29610</v>
      </c>
      <c r="G13" s="15">
        <v>200</v>
      </c>
      <c r="H13" s="15">
        <v>33650</v>
      </c>
      <c r="I13" s="15">
        <v>0</v>
      </c>
      <c r="J13" s="15">
        <f t="shared" si="2"/>
        <v>644388</v>
      </c>
      <c r="K13" s="18">
        <f t="shared" si="0"/>
        <v>9.8699999999999992</v>
      </c>
      <c r="L13" s="19"/>
    </row>
    <row r="14" spans="1:12" s="20" customFormat="1" ht="18" customHeight="1" x14ac:dyDescent="0.25">
      <c r="A14" s="13" t="s">
        <v>30</v>
      </c>
      <c r="B14" s="14">
        <v>350000</v>
      </c>
      <c r="C14" s="15">
        <v>432947</v>
      </c>
      <c r="D14" s="16">
        <v>187460</v>
      </c>
      <c r="E14" s="15">
        <v>0</v>
      </c>
      <c r="F14" s="15">
        <f t="shared" si="1"/>
        <v>187460</v>
      </c>
      <c r="G14" s="15">
        <v>4458</v>
      </c>
      <c r="H14" s="15">
        <v>91000</v>
      </c>
      <c r="I14" s="15">
        <v>0</v>
      </c>
      <c r="J14" s="15">
        <f t="shared" si="2"/>
        <v>524949</v>
      </c>
      <c r="K14" s="18">
        <f t="shared" si="0"/>
        <v>53.56</v>
      </c>
      <c r="L14" s="19"/>
    </row>
    <row r="15" spans="1:12" s="20" customFormat="1" ht="18" customHeight="1" x14ac:dyDescent="0.25">
      <c r="A15" s="21" t="s">
        <v>21</v>
      </c>
      <c r="B15" s="15">
        <v>350000</v>
      </c>
      <c r="C15" s="15">
        <v>1446803</v>
      </c>
      <c r="D15" s="16">
        <v>343810</v>
      </c>
      <c r="E15" s="15">
        <v>0</v>
      </c>
      <c r="F15" s="15">
        <f t="shared" si="1"/>
        <v>343810</v>
      </c>
      <c r="G15" s="15">
        <v>21941</v>
      </c>
      <c r="H15" s="15">
        <v>272000</v>
      </c>
      <c r="I15" s="15">
        <v>0</v>
      </c>
      <c r="J15" s="15">
        <f t="shared" si="2"/>
        <v>1496672</v>
      </c>
      <c r="K15" s="18">
        <f t="shared" si="0"/>
        <v>98.231428571428566</v>
      </c>
      <c r="L15" s="19"/>
    </row>
    <row r="16" spans="1:12" s="20" customFormat="1" ht="18" customHeight="1" x14ac:dyDescent="0.25">
      <c r="A16" s="21" t="s">
        <v>19</v>
      </c>
      <c r="B16" s="15">
        <v>400000</v>
      </c>
      <c r="C16" s="15">
        <v>1294948</v>
      </c>
      <c r="D16" s="16">
        <v>35750</v>
      </c>
      <c r="E16" s="15">
        <v>0</v>
      </c>
      <c r="F16" s="15">
        <f>D16-E16</f>
        <v>35750</v>
      </c>
      <c r="G16" s="15">
        <v>1430</v>
      </c>
      <c r="H16" s="15">
        <v>94134</v>
      </c>
      <c r="I16" s="15">
        <v>0</v>
      </c>
      <c r="J16" s="15">
        <f t="shared" si="2"/>
        <v>1235134</v>
      </c>
      <c r="K16" s="18">
        <f t="shared" si="0"/>
        <v>8.9375</v>
      </c>
      <c r="L16" s="19"/>
    </row>
    <row r="17" spans="1:12" s="20" customFormat="1" ht="18" customHeight="1" x14ac:dyDescent="0.25">
      <c r="A17" s="13" t="s">
        <v>29</v>
      </c>
      <c r="B17" s="14">
        <v>350000</v>
      </c>
      <c r="C17" s="15">
        <v>2483400</v>
      </c>
      <c r="D17" s="16">
        <v>0</v>
      </c>
      <c r="E17" s="15">
        <v>0</v>
      </c>
      <c r="F17" s="15">
        <f t="shared" si="1"/>
        <v>0</v>
      </c>
      <c r="G17" s="15">
        <v>0</v>
      </c>
      <c r="H17" s="15">
        <v>0</v>
      </c>
      <c r="I17" s="17">
        <v>0</v>
      </c>
      <c r="J17" s="15">
        <f t="shared" si="2"/>
        <v>2483400</v>
      </c>
      <c r="K17" s="18">
        <f>F17*100/B17</f>
        <v>0</v>
      </c>
      <c r="L17" s="19"/>
    </row>
    <row r="18" spans="1:12" s="20" customFormat="1" ht="18" customHeight="1" x14ac:dyDescent="0.25">
      <c r="A18" s="13" t="s">
        <v>28</v>
      </c>
      <c r="B18" s="14">
        <v>300000</v>
      </c>
      <c r="C18" s="15">
        <v>337049</v>
      </c>
      <c r="D18" s="16">
        <v>175800</v>
      </c>
      <c r="E18" s="15">
        <v>0</v>
      </c>
      <c r="F18" s="15">
        <f t="shared" si="1"/>
        <v>175800</v>
      </c>
      <c r="G18" s="15">
        <v>7452</v>
      </c>
      <c r="H18" s="15">
        <v>98400</v>
      </c>
      <c r="I18" s="15">
        <v>0</v>
      </c>
      <c r="J18" s="15">
        <f t="shared" si="2"/>
        <v>406997</v>
      </c>
      <c r="K18" s="18">
        <f t="shared" si="0"/>
        <v>58.6</v>
      </c>
      <c r="L18" s="19"/>
    </row>
    <row r="19" spans="1:12" s="20" customFormat="1" ht="18" customHeight="1" x14ac:dyDescent="0.25">
      <c r="A19" s="13" t="s">
        <v>31</v>
      </c>
      <c r="B19" s="14">
        <v>250000</v>
      </c>
      <c r="C19" s="15">
        <v>15625</v>
      </c>
      <c r="D19" s="16">
        <v>71950</v>
      </c>
      <c r="E19" s="15">
        <v>0</v>
      </c>
      <c r="F19" s="15">
        <f t="shared" si="1"/>
        <v>71950</v>
      </c>
      <c r="G19" s="15">
        <v>0</v>
      </c>
      <c r="H19" s="15">
        <v>15500</v>
      </c>
      <c r="I19" s="15">
        <v>0</v>
      </c>
      <c r="J19" s="15">
        <f t="shared" si="2"/>
        <v>72075</v>
      </c>
      <c r="K19" s="18">
        <f t="shared" si="0"/>
        <v>28.78</v>
      </c>
      <c r="L19" s="19"/>
    </row>
    <row r="20" spans="1:12" s="20" customFormat="1" ht="18" customHeight="1" x14ac:dyDescent="0.25">
      <c r="A20" s="23" t="s">
        <v>15</v>
      </c>
      <c r="B20" s="23">
        <f>SUM(B7:B19)</f>
        <v>4500000</v>
      </c>
      <c r="C20" s="23">
        <f>SUM(C7:C19)</f>
        <v>13411120</v>
      </c>
      <c r="D20" s="24">
        <f t="shared" ref="D20:J20" si="3">SUM(D7:D19)</f>
        <v>1488570</v>
      </c>
      <c r="E20" s="23">
        <f t="shared" si="3"/>
        <v>114145</v>
      </c>
      <c r="F20" s="23">
        <f t="shared" si="3"/>
        <v>1374425</v>
      </c>
      <c r="G20" s="23">
        <f t="shared" si="3"/>
        <v>261019</v>
      </c>
      <c r="H20" s="23">
        <f t="shared" si="3"/>
        <v>1639798</v>
      </c>
      <c r="I20" s="23">
        <f t="shared" si="3"/>
        <v>0</v>
      </c>
      <c r="J20" s="23">
        <f t="shared" si="3"/>
        <v>12884728</v>
      </c>
      <c r="K20" s="25">
        <f>F20*100/B20</f>
        <v>30.542777777777779</v>
      </c>
      <c r="L20" s="26"/>
    </row>
    <row r="21" spans="1:12" s="20" customFormat="1" ht="18" customHeight="1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8"/>
      <c r="K21" s="29"/>
      <c r="L21" s="29"/>
    </row>
    <row r="22" spans="1:12" s="20" customFormat="1" ht="18" customHeight="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3"/>
      <c r="L22" s="31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25</v>
      </c>
    </row>
    <row r="25" spans="1:12" x14ac:dyDescent="0.25"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2026-01-31T07:04:42Z</dcterms:modified>
</cp:coreProperties>
</file>