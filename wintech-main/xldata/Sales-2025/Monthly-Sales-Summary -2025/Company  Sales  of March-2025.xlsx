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filterPrivacy="1" defaultThemeVersion="124226"/>
  <xr:revisionPtr revIDLastSave="0" documentId="13_ncr:1_{53A58AFC-4397-4931-8BD9-4A6D5104810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J10" i="1"/>
  <c r="J9" i="1"/>
  <c r="J8" i="1"/>
  <c r="J7" i="1"/>
  <c r="K9" i="1"/>
  <c r="J11" i="1"/>
  <c r="K11" i="1"/>
  <c r="K12" i="1"/>
  <c r="J12" i="1"/>
  <c r="J15" i="1"/>
  <c r="K15" i="1"/>
  <c r="D20" i="1" l="1"/>
  <c r="K13" i="1"/>
  <c r="J13" i="1"/>
  <c r="K8" i="1"/>
  <c r="K7" i="1"/>
  <c r="I20" i="1"/>
  <c r="H20" i="1"/>
  <c r="G20" i="1"/>
  <c r="F20" i="1"/>
  <c r="E20" i="1"/>
  <c r="C20" i="1"/>
  <c r="B20" i="1"/>
  <c r="K17" i="1"/>
  <c r="J17" i="1"/>
  <c r="K16" i="1"/>
  <c r="J16" i="1"/>
  <c r="K14" i="1"/>
  <c r="J14" i="1"/>
  <c r="J20" i="1" l="1"/>
  <c r="K20" i="1"/>
</calcChain>
</file>

<file path=xl/sharedStrings.xml><?xml version="1.0" encoding="utf-8"?>
<sst xmlns="http://schemas.openxmlformats.org/spreadsheetml/2006/main" count="32" uniqueCount="31">
  <si>
    <t xml:space="preserve">Total Sales Summary of The Company </t>
  </si>
  <si>
    <t>Area</t>
  </si>
  <si>
    <t>Target</t>
  </si>
  <si>
    <t>Previous Dues</t>
  </si>
  <si>
    <t>Total Sales</t>
  </si>
  <si>
    <t>Rtd. Goods</t>
  </si>
  <si>
    <t>Net Sales</t>
  </si>
  <si>
    <t>Commission</t>
  </si>
  <si>
    <t>Collection</t>
  </si>
  <si>
    <t>Bad Debt</t>
  </si>
  <si>
    <t>Total Dues</t>
  </si>
  <si>
    <t>Sales (%)</t>
  </si>
  <si>
    <t>Achievement(%)</t>
  </si>
  <si>
    <t>(Zonewise)</t>
  </si>
  <si>
    <t>Comilla-1</t>
  </si>
  <si>
    <t>Total-</t>
  </si>
  <si>
    <t xml:space="preserve"> Accounts Dept.</t>
  </si>
  <si>
    <t xml:space="preserve"> Checked by</t>
  </si>
  <si>
    <t>Comilla-2</t>
  </si>
  <si>
    <t>Bogra</t>
  </si>
  <si>
    <t>WINTECH AGRO BANGLADESH</t>
  </si>
  <si>
    <t>Feni</t>
  </si>
  <si>
    <t>Comilla-3</t>
  </si>
  <si>
    <t>Mymen-2</t>
  </si>
  <si>
    <t>Mymen-1</t>
  </si>
  <si>
    <t>Fulpur</t>
  </si>
  <si>
    <t>Manager Sales</t>
  </si>
  <si>
    <t>Mymen-3</t>
  </si>
  <si>
    <t>Jessore-1</t>
  </si>
  <si>
    <t>Jessore-2</t>
  </si>
  <si>
    <t>Month of March 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</si>
</sst>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u/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43" fontId="3" fillId="0" borderId="1" xfId="1" applyFont="1" applyBorder="1" applyAlignment="1">
      <alignment horizontal="center"/>
    </xf>
    <xf numFmtId="43" fontId="3" fillId="0" borderId="2" xfId="1" applyFont="1" applyBorder="1" applyAlignment="1">
      <alignment horizontal="center"/>
    </xf>
    <xf numFmtId="43" fontId="3" fillId="0" borderId="3" xfId="1" applyFont="1" applyBorder="1" applyAlignment="1">
      <alignment horizontal="center"/>
    </xf>
    <xf numFmtId="43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3" fontId="3" fillId="0" borderId="4" xfId="1" applyFont="1" applyBorder="1" applyAlignment="1">
      <alignment horizontal="center"/>
    </xf>
    <xf numFmtId="43" fontId="3" fillId="0" borderId="5" xfId="1" applyFont="1" applyBorder="1" applyAlignment="1">
      <alignment horizontal="center"/>
    </xf>
    <xf numFmtId="43" fontId="3" fillId="0" borderId="6" xfId="1" applyFont="1" applyBorder="1" applyAlignment="1">
      <alignment horizontal="center"/>
    </xf>
    <xf numFmtId="43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43" fontId="3" fillId="0" borderId="5" xfId="1" applyFont="1" applyBorder="1"/>
    <xf numFmtId="43" fontId="3" fillId="0" borderId="7" xfId="1" applyFont="1" applyBorder="1"/>
    <xf numFmtId="43" fontId="3" fillId="0" borderId="8" xfId="1" applyFont="1" applyBorder="1"/>
    <xf numFmtId="2" fontId="3" fillId="0" borderId="7" xfId="0" applyNumberFormat="1" applyFont="1" applyBorder="1"/>
    <xf numFmtId="43" fontId="3" fillId="0" borderId="7" xfId="1" applyFont="1" applyFill="1" applyBorder="1"/>
    <xf numFmtId="2" fontId="3" fillId="0" borderId="7" xfId="0" applyNumberFormat="1" applyFont="1" applyBorder="1" applyAlignment="1">
      <alignment horizontal="center"/>
    </xf>
    <xf numFmtId="43" fontId="3" fillId="0" borderId="0" xfId="1" applyFont="1"/>
    <xf numFmtId="43" fontId="3" fillId="0" borderId="2" xfId="1" applyFont="1" applyBorder="1"/>
    <xf numFmtId="43" fontId="3" fillId="0" borderId="9" xfId="1" applyFont="1" applyBorder="1"/>
    <xf numFmtId="2" fontId="3" fillId="0" borderId="8" xfId="0" applyNumberFormat="1" applyFont="1" applyBorder="1" applyAlignment="1">
      <alignment horizontal="center"/>
    </xf>
    <xf numFmtId="43" fontId="4" fillId="0" borderId="7" xfId="1" applyFont="1" applyBorder="1"/>
    <xf numFmtId="43" fontId="4" fillId="0" borderId="8" xfId="1" applyFont="1" applyBorder="1"/>
    <xf numFmtId="2" fontId="4" fillId="0" borderId="7" xfId="0" applyNumberFormat="1" applyFont="1" applyBorder="1" applyAlignment="1">
      <alignment horizontal="center"/>
    </xf>
    <xf numFmtId="2" fontId="4" fillId="0" borderId="7" xfId="0" applyNumberFormat="1" applyFont="1" applyBorder="1"/>
    <xf numFmtId="43" fontId="4" fillId="0" borderId="0" xfId="1" applyFont="1" applyBorder="1"/>
    <xf numFmtId="43" fontId="3" fillId="0" borderId="0" xfId="1" applyFont="1" applyBorder="1"/>
    <xf numFmtId="2" fontId="4" fillId="0" borderId="0" xfId="0" applyNumberFormat="1" applyFont="1"/>
    <xf numFmtId="43" fontId="4" fillId="0" borderId="0" xfId="1" applyFont="1" applyFill="1" applyBorder="1"/>
    <xf numFmtId="43" fontId="3" fillId="0" borderId="0" xfId="0" applyNumberFormat="1" applyFont="1"/>
    <xf numFmtId="43" fontId="3" fillId="2" borderId="2" xfId="1" applyFont="1" applyFill="1" applyBorder="1"/>
    <xf numFmtId="43" fontId="3" fillId="2" borderId="7" xfId="1" applyFont="1" applyFill="1" applyBorder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O15" sqref="O15"/>
    </sheetView>
  </sheetViews>
  <sheetFormatPr defaultRowHeight="15" x14ac:dyDescent="0.25"/>
  <cols>
    <col min="2" max="2" width="12" customWidth="1"/>
    <col min="3" max="3" width="12.140625" customWidth="1"/>
    <col min="4" max="4" width="11.7109375" customWidth="1"/>
    <col min="5" max="5" width="9.7109375" customWidth="1"/>
    <col min="6" max="6" width="11.42578125" customWidth="1"/>
    <col min="7" max="7" width="10.85546875" customWidth="1"/>
    <col min="8" max="8" width="12.28515625" customWidth="1"/>
    <col min="9" max="9" width="10.28515625" customWidth="1"/>
    <col min="10" max="10" width="11.7109375" customWidth="1"/>
    <col min="11" max="11" width="11" customWidth="1"/>
    <col min="12" max="12" width="10.7109375" customWidth="1"/>
    <col min="14" max="14" width="13.5703125" customWidth="1"/>
  </cols>
  <sheetData>
    <row r="1" spans="1:12" ht="20.25" x14ac:dyDescent="0.3">
      <c r="A1" s="33" t="s">
        <v>20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ht="20.25" x14ac:dyDescent="0.3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 ht="20.25" x14ac:dyDescent="0.3">
      <c r="A3" s="33" t="s">
        <v>30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2" t="s">
        <v>1</v>
      </c>
      <c r="B5" s="3" t="s">
        <v>2</v>
      </c>
      <c r="C5" s="4" t="s">
        <v>3</v>
      </c>
      <c r="D5" s="3" t="s">
        <v>4</v>
      </c>
      <c r="E5" s="3" t="s">
        <v>5</v>
      </c>
      <c r="F5" s="3" t="s">
        <v>6</v>
      </c>
      <c r="G5" s="4" t="s">
        <v>7</v>
      </c>
      <c r="H5" s="3" t="s">
        <v>8</v>
      </c>
      <c r="I5" s="3" t="s">
        <v>9</v>
      </c>
      <c r="J5" s="4" t="s">
        <v>10</v>
      </c>
      <c r="K5" s="5" t="s">
        <v>2</v>
      </c>
      <c r="L5" s="6" t="s">
        <v>11</v>
      </c>
    </row>
    <row r="6" spans="1:12" x14ac:dyDescent="0.25">
      <c r="A6" s="7"/>
      <c r="B6" s="8"/>
      <c r="C6" s="9"/>
      <c r="D6" s="8"/>
      <c r="E6" s="8"/>
      <c r="F6" s="8"/>
      <c r="G6" s="9"/>
      <c r="H6" s="8"/>
      <c r="I6" s="8"/>
      <c r="J6" s="9"/>
      <c r="K6" s="10" t="s">
        <v>12</v>
      </c>
      <c r="L6" s="11" t="s">
        <v>13</v>
      </c>
    </row>
    <row r="7" spans="1:12" x14ac:dyDescent="0.25">
      <c r="A7" s="31" t="s">
        <v>24</v>
      </c>
      <c r="B7" s="19">
        <v>300000</v>
      </c>
      <c r="C7" s="13">
        <v>425594</v>
      </c>
      <c r="D7" s="14">
        <v>378150</v>
      </c>
      <c r="E7" s="13">
        <v>16530</v>
      </c>
      <c r="F7" s="13">
        <v>361620</v>
      </c>
      <c r="G7" s="13">
        <v>25040</v>
      </c>
      <c r="H7" s="13">
        <v>311350</v>
      </c>
      <c r="I7" s="20"/>
      <c r="J7" s="13">
        <f>C7+D7-E7-G7-H7-I7</f>
        <v>450824</v>
      </c>
      <c r="K7" s="21">
        <f>F7*100/B7</f>
        <v>120.54</v>
      </c>
      <c r="L7" s="15"/>
    </row>
    <row r="8" spans="1:12" x14ac:dyDescent="0.25">
      <c r="A8" s="32" t="s">
        <v>23</v>
      </c>
      <c r="B8" s="13">
        <v>200000</v>
      </c>
      <c r="C8" s="13">
        <v>213455</v>
      </c>
      <c r="D8" s="14">
        <v>281320</v>
      </c>
      <c r="E8" s="16">
        <v>53030</v>
      </c>
      <c r="F8" s="13">
        <v>228290</v>
      </c>
      <c r="G8" s="13">
        <v>4865</v>
      </c>
      <c r="H8" s="13">
        <v>132860</v>
      </c>
      <c r="I8" s="13"/>
      <c r="J8" s="12">
        <f>C8+D8-E8-G8-H8-I8</f>
        <v>304020</v>
      </c>
      <c r="K8" s="17">
        <f>F8*100/B8</f>
        <v>114.145</v>
      </c>
      <c r="L8" s="15"/>
    </row>
    <row r="9" spans="1:12" x14ac:dyDescent="0.25">
      <c r="A9" s="32" t="s">
        <v>27</v>
      </c>
      <c r="B9" s="13">
        <v>200000</v>
      </c>
      <c r="C9" s="13">
        <v>686280</v>
      </c>
      <c r="D9" s="14">
        <v>184850</v>
      </c>
      <c r="E9" s="16"/>
      <c r="F9" s="13">
        <v>184850</v>
      </c>
      <c r="G9" s="13">
        <v>185</v>
      </c>
      <c r="H9" s="13">
        <v>145150</v>
      </c>
      <c r="I9" s="13"/>
      <c r="J9" s="12">
        <f>C9+D9-E9-G9-H9-I9</f>
        <v>725795</v>
      </c>
      <c r="K9" s="17">
        <f>F9*100/B9</f>
        <v>92.424999999999997</v>
      </c>
      <c r="L9" s="15"/>
    </row>
    <row r="10" spans="1:12" x14ac:dyDescent="0.25">
      <c r="A10" s="31" t="s">
        <v>25</v>
      </c>
      <c r="B10" s="19">
        <v>250000</v>
      </c>
      <c r="C10" s="13">
        <v>172363</v>
      </c>
      <c r="D10" s="14">
        <v>109810</v>
      </c>
      <c r="E10" s="13"/>
      <c r="F10" s="13">
        <v>109810</v>
      </c>
      <c r="G10" s="13">
        <v>2578</v>
      </c>
      <c r="H10" s="13">
        <v>53032</v>
      </c>
      <c r="I10" s="13">
        <v>0</v>
      </c>
      <c r="J10" s="12">
        <f>C10+D10-E10-G10-H10</f>
        <v>226563</v>
      </c>
      <c r="K10" s="17">
        <f>F10*100/B10</f>
        <v>43.923999999999999</v>
      </c>
      <c r="L10" s="15"/>
    </row>
    <row r="11" spans="1:12" x14ac:dyDescent="0.25">
      <c r="A11" s="32" t="s">
        <v>14</v>
      </c>
      <c r="B11" s="13">
        <v>450000</v>
      </c>
      <c r="C11" s="13">
        <v>1226281</v>
      </c>
      <c r="D11" s="14">
        <v>455470</v>
      </c>
      <c r="E11" s="16">
        <v>3965</v>
      </c>
      <c r="F11" s="13">
        <v>451505</v>
      </c>
      <c r="G11" s="13">
        <v>4023</v>
      </c>
      <c r="H11" s="13">
        <v>234730</v>
      </c>
      <c r="I11" s="13">
        <v>0</v>
      </c>
      <c r="J11" s="12">
        <f>C11+D11-E11-G11-H11</f>
        <v>1439033</v>
      </c>
      <c r="K11" s="17">
        <f>F11*100/B11</f>
        <v>100.33444444444444</v>
      </c>
      <c r="L11" s="15"/>
    </row>
    <row r="12" spans="1:12" x14ac:dyDescent="0.25">
      <c r="A12" s="32" t="s">
        <v>18</v>
      </c>
      <c r="B12" s="13">
        <v>300000</v>
      </c>
      <c r="C12" s="13">
        <v>857940</v>
      </c>
      <c r="D12" s="14">
        <v>152070</v>
      </c>
      <c r="E12" s="13"/>
      <c r="F12" s="13">
        <v>152070</v>
      </c>
      <c r="G12" s="13">
        <v>1690</v>
      </c>
      <c r="H12" s="13">
        <v>107000</v>
      </c>
      <c r="I12" s="13">
        <v>0</v>
      </c>
      <c r="J12" s="13">
        <f t="shared" ref="J12" si="0">C12+D12-E12-G12-H12</f>
        <v>901320</v>
      </c>
      <c r="K12" s="17">
        <f t="shared" ref="K12" si="1">(D12-E12)*100/B12</f>
        <v>50.69</v>
      </c>
      <c r="L12" s="15"/>
    </row>
    <row r="13" spans="1:12" x14ac:dyDescent="0.25">
      <c r="A13" s="31" t="s">
        <v>22</v>
      </c>
      <c r="B13" s="19">
        <v>200000</v>
      </c>
      <c r="C13" s="13">
        <v>668935</v>
      </c>
      <c r="D13" s="14">
        <v>95900</v>
      </c>
      <c r="E13" s="13">
        <v>27870</v>
      </c>
      <c r="F13" s="13">
        <v>68030</v>
      </c>
      <c r="G13" s="13">
        <v>18366</v>
      </c>
      <c r="H13" s="13">
        <v>55620</v>
      </c>
      <c r="I13" s="13">
        <v>0</v>
      </c>
      <c r="J13" s="12">
        <f>C13+D13-E13-G13-H13</f>
        <v>662979</v>
      </c>
      <c r="K13" s="17">
        <f>F13*100/B13</f>
        <v>34.015000000000001</v>
      </c>
      <c r="L13" s="15"/>
    </row>
    <row r="14" spans="1:12" x14ac:dyDescent="0.25">
      <c r="A14" s="32" t="s">
        <v>21</v>
      </c>
      <c r="B14" s="13">
        <v>250000</v>
      </c>
      <c r="C14" s="13">
        <v>1145955</v>
      </c>
      <c r="D14" s="14">
        <v>243230</v>
      </c>
      <c r="E14" s="13"/>
      <c r="F14" s="13">
        <v>243230</v>
      </c>
      <c r="G14" s="13">
        <v>17026</v>
      </c>
      <c r="H14" s="13">
        <v>133000</v>
      </c>
      <c r="I14" s="13">
        <v>0</v>
      </c>
      <c r="J14" s="13">
        <f t="shared" ref="J14" si="2">C14+D14-E14-G14-H14</f>
        <v>1239159</v>
      </c>
      <c r="K14" s="17">
        <f t="shared" ref="K14" si="3">(D14-E14)*100/B14</f>
        <v>97.292000000000002</v>
      </c>
      <c r="L14" s="15"/>
    </row>
    <row r="15" spans="1:12" x14ac:dyDescent="0.25">
      <c r="A15" s="32" t="s">
        <v>19</v>
      </c>
      <c r="B15" s="13">
        <v>350000</v>
      </c>
      <c r="C15" s="13">
        <v>697052</v>
      </c>
      <c r="D15" s="14">
        <v>395220</v>
      </c>
      <c r="E15" s="13"/>
      <c r="F15" s="13">
        <v>395220</v>
      </c>
      <c r="G15" s="13">
        <v>9247</v>
      </c>
      <c r="H15" s="13">
        <v>198149</v>
      </c>
      <c r="I15" s="13">
        <v>0</v>
      </c>
      <c r="J15" s="13">
        <f>C15+D15-E15-G15-H15</f>
        <v>884876</v>
      </c>
      <c r="K15" s="17">
        <f t="shared" ref="K15" si="4">(D15-E15)*100/B15</f>
        <v>112.92</v>
      </c>
      <c r="L15" s="15"/>
    </row>
    <row r="16" spans="1:12" x14ac:dyDescent="0.25">
      <c r="A16" s="31" t="s">
        <v>28</v>
      </c>
      <c r="B16" s="19">
        <v>250000</v>
      </c>
      <c r="C16" s="13">
        <v>1055110</v>
      </c>
      <c r="D16" s="14">
        <v>92060</v>
      </c>
      <c r="E16" s="13"/>
      <c r="F16" s="13">
        <v>92060</v>
      </c>
      <c r="G16" s="13">
        <v>3660</v>
      </c>
      <c r="H16" s="13">
        <v>388400</v>
      </c>
      <c r="I16" s="20">
        <v>0</v>
      </c>
      <c r="J16" s="13">
        <f>C16+D16-E16-G16-H16-I16</f>
        <v>755110</v>
      </c>
      <c r="K16" s="21">
        <f>F16*100/B16</f>
        <v>36.823999999999998</v>
      </c>
      <c r="L16" s="15"/>
    </row>
    <row r="17" spans="1:12" x14ac:dyDescent="0.25">
      <c r="A17" s="31" t="s">
        <v>29</v>
      </c>
      <c r="B17" s="19">
        <v>200000</v>
      </c>
      <c r="C17" s="13">
        <v>19294</v>
      </c>
      <c r="D17" s="14">
        <v>45220</v>
      </c>
      <c r="E17" s="13"/>
      <c r="F17" s="13">
        <v>45220</v>
      </c>
      <c r="G17" s="13">
        <v>1906</v>
      </c>
      <c r="H17" s="13">
        <v>33540</v>
      </c>
      <c r="I17" s="13">
        <v>0</v>
      </c>
      <c r="J17" s="12">
        <f>C17+D17-E17-G17-H17</f>
        <v>29068</v>
      </c>
      <c r="K17" s="17">
        <f>F17*100/B17</f>
        <v>22.61</v>
      </c>
      <c r="L17" s="15"/>
    </row>
    <row r="18" spans="1:12" x14ac:dyDescent="0.25">
      <c r="A18" s="19"/>
      <c r="B18" s="19"/>
      <c r="C18" s="13"/>
      <c r="D18" s="14"/>
      <c r="E18" s="13"/>
      <c r="F18" s="13"/>
      <c r="G18" s="13"/>
      <c r="H18" s="13"/>
      <c r="I18" s="13">
        <v>0</v>
      </c>
      <c r="J18" s="13"/>
      <c r="K18" s="17"/>
      <c r="L18" s="15"/>
    </row>
    <row r="19" spans="1:12" x14ac:dyDescent="0.25">
      <c r="A19" s="19"/>
      <c r="B19" s="19"/>
      <c r="C19" s="13"/>
      <c r="D19" s="14"/>
      <c r="E19" s="13"/>
      <c r="F19" s="13"/>
      <c r="G19" s="13"/>
      <c r="H19" s="13"/>
      <c r="I19" s="13">
        <v>0</v>
      </c>
      <c r="J19" s="13"/>
      <c r="K19" s="17"/>
      <c r="L19" s="15"/>
    </row>
    <row r="20" spans="1:12" x14ac:dyDescent="0.25">
      <c r="A20" s="22" t="s">
        <v>15</v>
      </c>
      <c r="B20" s="22">
        <f t="shared" ref="B20:J20" si="5">SUM(B7:B19)</f>
        <v>2950000</v>
      </c>
      <c r="C20" s="22">
        <f>SUM(C7:C19)</f>
        <v>7168259</v>
      </c>
      <c r="D20" s="23">
        <f>SUM(D7:D19)</f>
        <v>2433300</v>
      </c>
      <c r="E20" s="22">
        <f>SUM(E7:E19)</f>
        <v>101395</v>
      </c>
      <c r="F20" s="22">
        <f t="shared" si="5"/>
        <v>2331905</v>
      </c>
      <c r="G20" s="22">
        <f>SUM(G7:G19)</f>
        <v>88586</v>
      </c>
      <c r="H20" s="22">
        <f>SUM(H7:H19)</f>
        <v>1792831</v>
      </c>
      <c r="I20" s="22">
        <f t="shared" si="5"/>
        <v>0</v>
      </c>
      <c r="J20" s="22">
        <f t="shared" si="5"/>
        <v>7618747</v>
      </c>
      <c r="K20" s="24">
        <f>(D20-E20)*100/B20</f>
        <v>79.047627118644073</v>
      </c>
      <c r="L20" s="25"/>
    </row>
    <row r="21" spans="1:12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7"/>
      <c r="K21" s="28"/>
      <c r="L21" s="28"/>
    </row>
    <row r="22" spans="1:12" ht="13.5" customHeight="1" x14ac:dyDescent="0.25">
      <c r="A22" s="29"/>
      <c r="B22" s="1"/>
      <c r="C22" s="1"/>
      <c r="D22" s="1"/>
      <c r="E22" s="1"/>
      <c r="F22" s="1"/>
      <c r="G22" s="1"/>
      <c r="H22" s="1"/>
      <c r="I22" s="1"/>
      <c r="J22" s="18"/>
      <c r="K22" s="30"/>
      <c r="L22" s="1"/>
    </row>
    <row r="23" spans="1:12" x14ac:dyDescent="0.25">
      <c r="J23" s="18"/>
    </row>
    <row r="24" spans="1:12" x14ac:dyDescent="0.25">
      <c r="A24" t="s">
        <v>16</v>
      </c>
      <c r="F24" t="s">
        <v>17</v>
      </c>
      <c r="J24" s="18"/>
      <c r="K24" t="s">
        <v>26</v>
      </c>
    </row>
    <row r="25" spans="1:12" x14ac:dyDescent="0.25">
      <c r="J25" s="18"/>
    </row>
  </sheetData>
  <mergeCells count="3">
    <mergeCell ref="A1:L1"/>
    <mergeCell ref="A2:L2"/>
    <mergeCell ref="A3:L3"/>
  </mergeCells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2025-05-07T02:54:46Z</dcterms:modified>
</cp:coreProperties>
</file>