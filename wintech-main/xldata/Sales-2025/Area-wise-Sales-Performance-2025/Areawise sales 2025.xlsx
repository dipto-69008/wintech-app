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B05AE2D1-0875-4221-AB9B-A3D65E5F5097}" xr6:coauthVersionLast="47" xr6:coauthVersionMax="47" xr10:uidLastSave="{00000000-0000-0000-0000-000000000000}"/>
  <bookViews>
    <workbookView xWindow="-120" yWindow="-120" windowWidth="20730" windowHeight="11040" tabRatio="776" firstSheet="1" activeTab="11" xr2:uid="{00000000-000D-0000-FFFF-FFFF00000000}"/>
  </bookViews>
  <sheets>
    <sheet name="Magpie-1" sheetId="1" r:id="rId1"/>
    <sheet name="Magpie-2" sheetId="2" r:id="rId2"/>
    <sheet name="Magpie-3" sheetId="11" r:id="rId3"/>
    <sheet name="Magpie-4" sheetId="13" r:id="rId4"/>
    <sheet name="Kingfisher-1" sheetId="5" r:id="rId5"/>
    <sheet name="Kingfisher- 2" sheetId="7" r:id="rId6"/>
    <sheet name="Kingfisher-3" sheetId="6" r:id="rId7"/>
    <sheet name="Kingfisher-4" sheetId="12" r:id="rId8"/>
    <sheet name="Bogra" sheetId="4" r:id="rId9"/>
    <sheet name="Feni" sheetId="3" r:id="rId10"/>
    <sheet name="Jessore" sheetId="8" r:id="rId11"/>
    <sheet name="Bakra" sheetId="10" r:id="rId12"/>
    <sheet name="Fulpur" sheetId="9" r:id="rId13"/>
  </sheets>
  <calcPr calcId="181029"/>
</workbook>
</file>

<file path=xl/calcChain.xml><?xml version="1.0" encoding="utf-8"?>
<calcChain xmlns="http://schemas.openxmlformats.org/spreadsheetml/2006/main">
  <c r="D21" i="13" l="1"/>
  <c r="D19" i="10"/>
  <c r="K19" i="10"/>
  <c r="L18" i="8"/>
  <c r="D23" i="3"/>
  <c r="D22" i="3"/>
  <c r="H19" i="9"/>
  <c r="D22" i="2"/>
  <c r="K19" i="11"/>
  <c r="D23" i="11"/>
  <c r="D22" i="11"/>
  <c r="D21" i="11"/>
  <c r="D23" i="8"/>
  <c r="D22" i="8"/>
  <c r="D21" i="8"/>
  <c r="L18" i="10"/>
  <c r="D23" i="10"/>
  <c r="D22" i="10"/>
  <c r="D21" i="10"/>
  <c r="E19" i="12"/>
  <c r="I19" i="12"/>
  <c r="J13" i="12"/>
  <c r="D23" i="12"/>
  <c r="D22" i="12"/>
  <c r="F19" i="6"/>
  <c r="E19" i="6"/>
  <c r="D19" i="6"/>
  <c r="K19" i="6"/>
  <c r="D23" i="6"/>
  <c r="D22" i="6"/>
  <c r="D21" i="6"/>
  <c r="D23" i="7"/>
  <c r="D22" i="7"/>
  <c r="D21" i="7"/>
  <c r="K19" i="7"/>
  <c r="K19" i="5"/>
  <c r="I19" i="5"/>
  <c r="L18" i="5"/>
  <c r="L17" i="5"/>
  <c r="L16" i="5"/>
  <c r="L15" i="5"/>
  <c r="L14" i="5"/>
  <c r="L13" i="5"/>
  <c r="L12" i="5"/>
  <c r="L11" i="5"/>
  <c r="L10" i="5"/>
  <c r="L9" i="5"/>
  <c r="L8" i="5"/>
  <c r="L7" i="5"/>
  <c r="D23" i="5"/>
  <c r="D22" i="5"/>
  <c r="D21" i="5"/>
  <c r="J18" i="5"/>
  <c r="I19" i="13"/>
  <c r="H19" i="13"/>
  <c r="G19" i="13"/>
  <c r="F19" i="13"/>
  <c r="K19" i="13" s="1"/>
  <c r="D19" i="13"/>
  <c r="D23" i="13"/>
  <c r="D22" i="13"/>
  <c r="L18" i="11"/>
  <c r="L17" i="11"/>
  <c r="L16" i="11"/>
  <c r="F20" i="1"/>
  <c r="D22" i="9"/>
  <c r="D23" i="1"/>
  <c r="L19" i="1"/>
  <c r="L18" i="1"/>
  <c r="D24" i="1"/>
  <c r="D22" i="1"/>
  <c r="J18" i="13"/>
  <c r="F18" i="13"/>
  <c r="J18" i="2"/>
  <c r="F18" i="2"/>
  <c r="J19" i="1"/>
  <c r="F19" i="1"/>
  <c r="K19" i="1" s="1"/>
  <c r="B19" i="13"/>
  <c r="K18" i="13"/>
  <c r="J17" i="13"/>
  <c r="F17" i="13"/>
  <c r="K17" i="13" s="1"/>
  <c r="J16" i="13"/>
  <c r="F16" i="13"/>
  <c r="K16" i="13" s="1"/>
  <c r="F17" i="3"/>
  <c r="F18" i="3"/>
  <c r="J17" i="3"/>
  <c r="J18" i="3"/>
  <c r="E19" i="3"/>
  <c r="K8" i="4"/>
  <c r="K9" i="4"/>
  <c r="K10" i="4"/>
  <c r="K11" i="4"/>
  <c r="K12" i="4"/>
  <c r="J8" i="4"/>
  <c r="J9" i="4"/>
  <c r="J10" i="4"/>
  <c r="J11" i="4"/>
  <c r="J12" i="4"/>
  <c r="J13" i="4"/>
  <c r="J14" i="4"/>
  <c r="J15" i="4"/>
  <c r="J16" i="4"/>
  <c r="J17" i="4"/>
  <c r="J18" i="4"/>
  <c r="J7" i="4"/>
  <c r="H19" i="12"/>
  <c r="G19" i="12"/>
  <c r="D19" i="12"/>
  <c r="J17" i="12"/>
  <c r="K17" i="12"/>
  <c r="J18" i="12"/>
  <c r="K17" i="3" l="1"/>
  <c r="J17" i="2"/>
  <c r="F17" i="2"/>
  <c r="J18" i="1"/>
  <c r="F18" i="1"/>
  <c r="K18" i="1" s="1"/>
  <c r="J16" i="9"/>
  <c r="B19" i="8"/>
  <c r="F16" i="8"/>
  <c r="F8" i="11"/>
  <c r="K8" i="11" s="1"/>
  <c r="F9" i="11"/>
  <c r="K9" i="11" s="1"/>
  <c r="F10" i="11"/>
  <c r="F11" i="11"/>
  <c r="K11" i="11" s="1"/>
  <c r="F12" i="11"/>
  <c r="F13" i="11"/>
  <c r="F14" i="11"/>
  <c r="K14" i="11" s="1"/>
  <c r="F15" i="11"/>
  <c r="F16" i="11"/>
  <c r="K16" i="11" s="1"/>
  <c r="F17" i="11"/>
  <c r="K17" i="11" s="1"/>
  <c r="F18" i="11"/>
  <c r="K18" i="11" s="1"/>
  <c r="F7" i="11"/>
  <c r="K10" i="11"/>
  <c r="K12" i="11"/>
  <c r="K13" i="11"/>
  <c r="K15" i="11"/>
  <c r="H19" i="11"/>
  <c r="G19" i="11"/>
  <c r="E19" i="11"/>
  <c r="D19" i="11"/>
  <c r="B19" i="11"/>
  <c r="I19" i="11"/>
  <c r="J8" i="11"/>
  <c r="J9" i="11"/>
  <c r="J10" i="11"/>
  <c r="J11" i="11"/>
  <c r="J12" i="11"/>
  <c r="J13" i="11"/>
  <c r="J14" i="11"/>
  <c r="J15" i="11"/>
  <c r="J16" i="11"/>
  <c r="J17" i="11"/>
  <c r="J18" i="11"/>
  <c r="J7" i="11"/>
  <c r="F17" i="1"/>
  <c r="K13" i="12"/>
  <c r="J14" i="12"/>
  <c r="J15" i="12"/>
  <c r="J16" i="12"/>
  <c r="F13" i="12"/>
  <c r="J8" i="6"/>
  <c r="J9" i="6"/>
  <c r="J10" i="6"/>
  <c r="J11" i="6"/>
  <c r="J12" i="6"/>
  <c r="J13" i="6"/>
  <c r="J14" i="6"/>
  <c r="J15" i="6"/>
  <c r="J16" i="6"/>
  <c r="J17" i="6"/>
  <c r="J18" i="6"/>
  <c r="K8" i="6"/>
  <c r="K11" i="6"/>
  <c r="K12" i="6"/>
  <c r="K8" i="7"/>
  <c r="K9" i="7"/>
  <c r="K10" i="7"/>
  <c r="K11" i="7"/>
  <c r="K12" i="7"/>
  <c r="K13" i="7"/>
  <c r="K14" i="7"/>
  <c r="K15" i="7"/>
  <c r="K7" i="7"/>
  <c r="J16" i="7"/>
  <c r="J17" i="7"/>
  <c r="J18" i="7"/>
  <c r="J8" i="7"/>
  <c r="J9" i="7"/>
  <c r="J10" i="7"/>
  <c r="J11" i="7"/>
  <c r="J12" i="7"/>
  <c r="J13" i="7"/>
  <c r="J14" i="7"/>
  <c r="J15" i="7"/>
  <c r="H19" i="7"/>
  <c r="E19" i="7"/>
  <c r="F8" i="7"/>
  <c r="F9" i="7"/>
  <c r="F10" i="7"/>
  <c r="F11" i="7"/>
  <c r="F12" i="7"/>
  <c r="F13" i="7"/>
  <c r="F14" i="7"/>
  <c r="F15" i="7"/>
  <c r="F16" i="7"/>
  <c r="F17" i="7"/>
  <c r="K17" i="7" s="1"/>
  <c r="F18" i="7"/>
  <c r="F19" i="7" s="1"/>
  <c r="F7" i="7"/>
  <c r="J16" i="5"/>
  <c r="J17" i="5"/>
  <c r="K8" i="5"/>
  <c r="K9" i="5"/>
  <c r="K10" i="5"/>
  <c r="K11" i="5"/>
  <c r="K12" i="5"/>
  <c r="K13" i="5"/>
  <c r="K14" i="5"/>
  <c r="K15" i="5"/>
  <c r="K16" i="5"/>
  <c r="K17" i="5"/>
  <c r="K7" i="5"/>
  <c r="J7" i="5"/>
  <c r="F8" i="5"/>
  <c r="F9" i="5"/>
  <c r="F10" i="5"/>
  <c r="F11" i="5"/>
  <c r="F12" i="5"/>
  <c r="F13" i="5"/>
  <c r="F14" i="5"/>
  <c r="F15" i="5"/>
  <c r="F16" i="5"/>
  <c r="F17" i="5"/>
  <c r="F18" i="5"/>
  <c r="K18" i="5" s="1"/>
  <c r="F7" i="5"/>
  <c r="B19" i="2"/>
  <c r="K8" i="2"/>
  <c r="K9" i="2"/>
  <c r="K10" i="2"/>
  <c r="K11" i="2"/>
  <c r="K12" i="2"/>
  <c r="K13" i="2"/>
  <c r="K14" i="2"/>
  <c r="K15" i="2"/>
  <c r="K16" i="2"/>
  <c r="K17" i="2"/>
  <c r="K18" i="2"/>
  <c r="I19" i="2"/>
  <c r="G19" i="2"/>
  <c r="E19" i="2"/>
  <c r="J8" i="2"/>
  <c r="J9" i="2"/>
  <c r="J10" i="2"/>
  <c r="J11" i="2"/>
  <c r="J12" i="2"/>
  <c r="J13" i="2"/>
  <c r="J14" i="2"/>
  <c r="J15" i="2"/>
  <c r="J16" i="2"/>
  <c r="H20" i="1"/>
  <c r="G20" i="1"/>
  <c r="E20" i="1"/>
  <c r="D20" i="1"/>
  <c r="J9" i="1"/>
  <c r="J10" i="1"/>
  <c r="J11" i="1"/>
  <c r="J12" i="1"/>
  <c r="J13" i="1"/>
  <c r="J14" i="1"/>
  <c r="J15" i="1"/>
  <c r="J16" i="1"/>
  <c r="J8" i="1"/>
  <c r="D23" i="9"/>
  <c r="G19" i="9"/>
  <c r="E19" i="9"/>
  <c r="J8" i="9"/>
  <c r="J9" i="9"/>
  <c r="J10" i="9"/>
  <c r="J11" i="9"/>
  <c r="J12" i="9"/>
  <c r="J13" i="9"/>
  <c r="J14" i="9"/>
  <c r="J15" i="9"/>
  <c r="J17" i="9"/>
  <c r="J18" i="9"/>
  <c r="J7" i="9"/>
  <c r="K8" i="9"/>
  <c r="K9" i="9"/>
  <c r="K10" i="9"/>
  <c r="K11" i="9"/>
  <c r="K12" i="9"/>
  <c r="K13" i="9"/>
  <c r="K14" i="9"/>
  <c r="K15" i="9"/>
  <c r="K8" i="8"/>
  <c r="K9" i="8"/>
  <c r="K10" i="8"/>
  <c r="K11" i="8"/>
  <c r="K12" i="8"/>
  <c r="K13" i="8"/>
  <c r="K14" i="8"/>
  <c r="K15" i="8"/>
  <c r="K7" i="8"/>
  <c r="E19" i="8"/>
  <c r="J16" i="8"/>
  <c r="J14" i="3"/>
  <c r="J15" i="3"/>
  <c r="J16" i="3"/>
  <c r="K8" i="3"/>
  <c r="K9" i="3"/>
  <c r="K10" i="3"/>
  <c r="K11" i="3"/>
  <c r="K12" i="3"/>
  <c r="K13" i="3"/>
  <c r="K14" i="3"/>
  <c r="K15" i="3"/>
  <c r="K16" i="3"/>
  <c r="K18" i="3"/>
  <c r="K7" i="3"/>
  <c r="I19" i="8"/>
  <c r="H19" i="10"/>
  <c r="K9" i="10"/>
  <c r="K10" i="10"/>
  <c r="K11" i="10"/>
  <c r="K12" i="10"/>
  <c r="K13" i="10"/>
  <c r="K14" i="10"/>
  <c r="K15" i="10"/>
  <c r="K16" i="10"/>
  <c r="K8" i="10"/>
  <c r="E19" i="10"/>
  <c r="H19" i="4"/>
  <c r="D24" i="4" s="1"/>
  <c r="F14" i="12"/>
  <c r="K14" i="12" s="1"/>
  <c r="F15" i="12"/>
  <c r="K15" i="12" s="1"/>
  <c r="F16" i="12"/>
  <c r="K16" i="12" s="1"/>
  <c r="F17" i="12"/>
  <c r="F18" i="12"/>
  <c r="B19" i="12"/>
  <c r="J15" i="10"/>
  <c r="F15" i="10"/>
  <c r="F16" i="10"/>
  <c r="F17" i="10"/>
  <c r="K17" i="10" s="1"/>
  <c r="F18" i="10"/>
  <c r="K18" i="10" s="1"/>
  <c r="F9" i="10"/>
  <c r="F10" i="10"/>
  <c r="F11" i="10"/>
  <c r="F12" i="10"/>
  <c r="F13" i="10"/>
  <c r="F14" i="10"/>
  <c r="F8" i="10"/>
  <c r="J15" i="8"/>
  <c r="J14" i="8"/>
  <c r="F15" i="8"/>
  <c r="K16" i="8"/>
  <c r="F17" i="8"/>
  <c r="K17" i="8" s="1"/>
  <c r="F18" i="8"/>
  <c r="K18" i="8" s="1"/>
  <c r="F8" i="8"/>
  <c r="F9" i="8"/>
  <c r="F10" i="8"/>
  <c r="F11" i="8"/>
  <c r="F12" i="8"/>
  <c r="F13" i="8"/>
  <c r="F14" i="8"/>
  <c r="F7" i="8"/>
  <c r="J15" i="5"/>
  <c r="F14" i="2"/>
  <c r="F16" i="1"/>
  <c r="F9" i="1"/>
  <c r="F10" i="1"/>
  <c r="K10" i="1" s="1"/>
  <c r="F11" i="1"/>
  <c r="K11" i="1" s="1"/>
  <c r="F12" i="1"/>
  <c r="F13" i="1"/>
  <c r="F14" i="1"/>
  <c r="K14" i="1" s="1"/>
  <c r="F15" i="1"/>
  <c r="K15" i="1" s="1"/>
  <c r="K9" i="1"/>
  <c r="K12" i="1"/>
  <c r="K16" i="1"/>
  <c r="K17" i="1"/>
  <c r="F14" i="6"/>
  <c r="K14" i="6" s="1"/>
  <c r="F15" i="6"/>
  <c r="K15" i="6" s="1"/>
  <c r="F16" i="6"/>
  <c r="F17" i="6"/>
  <c r="K17" i="6" s="1"/>
  <c r="F18" i="6"/>
  <c r="K18" i="6" s="1"/>
  <c r="F14" i="9"/>
  <c r="F15" i="9"/>
  <c r="F16" i="9"/>
  <c r="F19" i="9" s="1"/>
  <c r="D21" i="9" s="1"/>
  <c r="F17" i="9"/>
  <c r="K17" i="9" s="1"/>
  <c r="F18" i="9"/>
  <c r="K18" i="9" s="1"/>
  <c r="F13" i="9"/>
  <c r="F14" i="3"/>
  <c r="F15" i="3"/>
  <c r="F16" i="3"/>
  <c r="F13" i="3"/>
  <c r="F14" i="4"/>
  <c r="K14" i="4" s="1"/>
  <c r="F15" i="4"/>
  <c r="K15" i="4" s="1"/>
  <c r="F16" i="4"/>
  <c r="K16" i="4" s="1"/>
  <c r="F17" i="4"/>
  <c r="F18" i="4"/>
  <c r="K18" i="4" s="1"/>
  <c r="F13" i="4"/>
  <c r="K13" i="4" s="1"/>
  <c r="F13" i="6"/>
  <c r="K13" i="6" s="1"/>
  <c r="F15" i="2"/>
  <c r="F16" i="2"/>
  <c r="F13" i="2"/>
  <c r="K18" i="12" l="1"/>
  <c r="F19" i="12"/>
  <c r="L15" i="7"/>
  <c r="L17" i="7"/>
  <c r="L18" i="7"/>
  <c r="K18" i="7"/>
  <c r="F19" i="5"/>
  <c r="L18" i="13"/>
  <c r="L17" i="13"/>
  <c r="L16" i="13"/>
  <c r="K17" i="4"/>
  <c r="L16" i="9"/>
  <c r="L17" i="9"/>
  <c r="L18" i="9"/>
  <c r="L13" i="9"/>
  <c r="L12" i="9"/>
  <c r="L11" i="9"/>
  <c r="L8" i="9"/>
  <c r="L10" i="9"/>
  <c r="L9" i="9"/>
  <c r="L7" i="9"/>
  <c r="K16" i="9"/>
  <c r="F19" i="11"/>
  <c r="K16" i="6"/>
  <c r="L16" i="7"/>
  <c r="K16" i="7"/>
  <c r="L12" i="7"/>
  <c r="L13" i="7"/>
  <c r="L14" i="7"/>
  <c r="L14" i="9"/>
  <c r="L15" i="9"/>
  <c r="K19" i="12"/>
  <c r="K13" i="1"/>
  <c r="F11" i="9"/>
  <c r="F8" i="9"/>
  <c r="K7" i="11"/>
  <c r="F9" i="2"/>
  <c r="F8" i="1"/>
  <c r="L12" i="6"/>
  <c r="F10" i="6"/>
  <c r="K10" i="6" s="1"/>
  <c r="F9" i="6"/>
  <c r="K9" i="6" s="1"/>
  <c r="J13" i="5"/>
  <c r="G19" i="10"/>
  <c r="F19" i="10"/>
  <c r="B19" i="10"/>
  <c r="J18" i="10"/>
  <c r="J17" i="10"/>
  <c r="J16" i="10"/>
  <c r="J14" i="10"/>
  <c r="J13" i="10"/>
  <c r="J12" i="10"/>
  <c r="J11" i="10"/>
  <c r="J10" i="10"/>
  <c r="J9" i="10"/>
  <c r="J8" i="10"/>
  <c r="K7" i="10"/>
  <c r="J11" i="3"/>
  <c r="D19" i="9"/>
  <c r="H19" i="6"/>
  <c r="G19" i="6"/>
  <c r="G19" i="7"/>
  <c r="D19" i="7"/>
  <c r="H19" i="5"/>
  <c r="G19" i="5"/>
  <c r="E19" i="5"/>
  <c r="D19" i="5"/>
  <c r="H19" i="2"/>
  <c r="D23" i="2" s="1"/>
  <c r="F19" i="2"/>
  <c r="D19" i="2"/>
  <c r="B20" i="1"/>
  <c r="H19" i="3"/>
  <c r="G19" i="3"/>
  <c r="F19" i="3"/>
  <c r="D19" i="3"/>
  <c r="B19" i="3"/>
  <c r="H19" i="8"/>
  <c r="J18" i="8"/>
  <c r="G19" i="8"/>
  <c r="D19" i="8"/>
  <c r="J17" i="8"/>
  <c r="E19" i="4"/>
  <c r="G19" i="4"/>
  <c r="D19" i="4"/>
  <c r="D22" i="4" s="1"/>
  <c r="J17" i="1"/>
  <c r="B19" i="9"/>
  <c r="K7" i="9"/>
  <c r="F19" i="8"/>
  <c r="J13" i="8"/>
  <c r="J12" i="8"/>
  <c r="J11" i="8"/>
  <c r="J10" i="8"/>
  <c r="J9" i="8"/>
  <c r="J8" i="8"/>
  <c r="J7" i="8"/>
  <c r="B19" i="6"/>
  <c r="K7" i="6"/>
  <c r="J7" i="6"/>
  <c r="L11" i="7"/>
  <c r="B19" i="7"/>
  <c r="J7" i="7"/>
  <c r="B19" i="5"/>
  <c r="J14" i="5"/>
  <c r="J12" i="5"/>
  <c r="J11" i="5"/>
  <c r="J10" i="5"/>
  <c r="J9" i="5"/>
  <c r="J8" i="5"/>
  <c r="L11" i="3" l="1"/>
  <c r="D21" i="3"/>
  <c r="L10" i="3"/>
  <c r="L18" i="3"/>
  <c r="L9" i="3"/>
  <c r="L16" i="3"/>
  <c r="L8" i="3"/>
  <c r="L15" i="3"/>
  <c r="L7" i="3"/>
  <c r="L14" i="3"/>
  <c r="L13" i="3"/>
  <c r="L12" i="3"/>
  <c r="L17" i="3"/>
  <c r="L15" i="2"/>
  <c r="D21" i="2"/>
  <c r="L17" i="12"/>
  <c r="D21" i="12"/>
  <c r="L17" i="10"/>
  <c r="L16" i="12"/>
  <c r="L18" i="12"/>
  <c r="K20" i="1"/>
  <c r="L16" i="10"/>
  <c r="L12" i="10"/>
  <c r="K19" i="3"/>
  <c r="L14" i="8"/>
  <c r="L17" i="8"/>
  <c r="L7" i="8"/>
  <c r="K19" i="8"/>
  <c r="L14" i="12"/>
  <c r="L15" i="12"/>
  <c r="L13" i="12"/>
  <c r="L14" i="2"/>
  <c r="L10" i="2"/>
  <c r="L8" i="2"/>
  <c r="L12" i="2"/>
  <c r="L11" i="2"/>
  <c r="L7" i="2"/>
  <c r="L16" i="2"/>
  <c r="L9" i="2"/>
  <c r="L13" i="2"/>
  <c r="L7" i="10"/>
  <c r="L7" i="7"/>
  <c r="L8" i="10"/>
  <c r="L9" i="10"/>
  <c r="L10" i="10"/>
  <c r="L11" i="10"/>
  <c r="L8" i="8"/>
  <c r="L10" i="8"/>
  <c r="L11" i="8"/>
  <c r="L8" i="7"/>
  <c r="L9" i="7"/>
  <c r="L10" i="7"/>
  <c r="L9" i="8"/>
  <c r="L8" i="1"/>
  <c r="L15" i="10"/>
  <c r="L14" i="10"/>
  <c r="L13" i="10"/>
  <c r="K19" i="9"/>
  <c r="L12" i="8"/>
  <c r="L15" i="8"/>
  <c r="L16" i="8"/>
  <c r="L13" i="8"/>
  <c r="F19" i="4"/>
  <c r="B19" i="4"/>
  <c r="K7" i="4"/>
  <c r="K19" i="4" l="1"/>
  <c r="D23" i="4"/>
  <c r="L17" i="6"/>
  <c r="L16" i="6"/>
  <c r="L18" i="4"/>
  <c r="L17" i="4"/>
  <c r="L12" i="4"/>
  <c r="L14" i="4"/>
  <c r="L13" i="4"/>
  <c r="L16" i="4"/>
  <c r="L15" i="4"/>
  <c r="L14" i="11"/>
  <c r="L13" i="11"/>
  <c r="L12" i="11"/>
  <c r="L8" i="11"/>
  <c r="L11" i="11"/>
  <c r="L10" i="11"/>
  <c r="L9" i="11"/>
  <c r="L15" i="11"/>
  <c r="L7" i="11"/>
  <c r="L13" i="6"/>
  <c r="L9" i="1"/>
  <c r="L12" i="1"/>
  <c r="L11" i="1"/>
  <c r="L10" i="1"/>
  <c r="L13" i="1"/>
  <c r="L14" i="6"/>
  <c r="L11" i="6"/>
  <c r="L15" i="6"/>
  <c r="L8" i="6"/>
  <c r="L9" i="6"/>
  <c r="L7" i="6"/>
  <c r="L10" i="6"/>
  <c r="L10" i="4"/>
  <c r="L8" i="4"/>
  <c r="L11" i="4"/>
  <c r="L9" i="4"/>
  <c r="L7" i="4"/>
  <c r="J13" i="3"/>
  <c r="J12" i="3"/>
  <c r="J10" i="3"/>
  <c r="J9" i="3"/>
  <c r="J8" i="3"/>
  <c r="J7" i="3"/>
  <c r="K7" i="2" l="1"/>
  <c r="J7" i="2"/>
  <c r="K19" i="2" l="1"/>
  <c r="K8" i="1" l="1"/>
  <c r="L14" i="1"/>
  <c r="L15" i="1" l="1"/>
  <c r="L17" i="1"/>
  <c r="L16" i="1"/>
</calcChain>
</file>

<file path=xl/sharedStrings.xml><?xml version="1.0" encoding="utf-8"?>
<sst xmlns="http://schemas.openxmlformats.org/spreadsheetml/2006/main" count="499" uniqueCount="74">
  <si>
    <t>Goalbari,Mirpur Borobazar,Savar,Dhaka-1218</t>
  </si>
  <si>
    <t>Area</t>
  </si>
  <si>
    <t>Target</t>
  </si>
  <si>
    <t>Previous Dues</t>
  </si>
  <si>
    <t>Total Sales</t>
  </si>
  <si>
    <t>Rtd. Goods</t>
  </si>
  <si>
    <t>Net Sales</t>
  </si>
  <si>
    <t>Commission</t>
  </si>
  <si>
    <t>Collection</t>
  </si>
  <si>
    <t>Bad Debt</t>
  </si>
  <si>
    <t>Total Dues</t>
  </si>
  <si>
    <t>Sales (%)</t>
  </si>
  <si>
    <t>Achievement(%)</t>
  </si>
  <si>
    <t>(Zonewise)</t>
  </si>
  <si>
    <t>Total-</t>
  </si>
  <si>
    <t>WINTECH AGRO BANGLADESH</t>
  </si>
  <si>
    <t>January</t>
  </si>
  <si>
    <t>February</t>
  </si>
  <si>
    <t>March</t>
  </si>
  <si>
    <t>April</t>
  </si>
  <si>
    <t xml:space="preserve">May </t>
  </si>
  <si>
    <t>June</t>
  </si>
  <si>
    <t>July</t>
  </si>
  <si>
    <t>August</t>
  </si>
  <si>
    <t>September</t>
  </si>
  <si>
    <t>October</t>
  </si>
  <si>
    <t>November</t>
  </si>
  <si>
    <t>December</t>
  </si>
  <si>
    <t>May</t>
  </si>
  <si>
    <t>Total Sales Summary of Feni Zone</t>
  </si>
  <si>
    <t>Total Sales Summary of Bogra Zone</t>
  </si>
  <si>
    <t>Total Sales Summary of Kingfisher-3 Zone</t>
  </si>
  <si>
    <t>Total Sales Summary of Jessore Zone</t>
  </si>
  <si>
    <t>Total Sales Summary of Fulpur Zone</t>
  </si>
  <si>
    <t>Total Sales Summary of Mymensingh(Magpie)-1</t>
  </si>
  <si>
    <t>Month of January to December -2025</t>
  </si>
  <si>
    <t>Month of January to December-2025</t>
  </si>
  <si>
    <t>Total Sales Summary of Jessore-2 Bakra Zone</t>
  </si>
  <si>
    <t>Total Sales Summary of Magpie-2 Fulbaria</t>
  </si>
  <si>
    <t>Total Sales Summary of Magpie-3 Muktagasa</t>
  </si>
  <si>
    <t>Total Sales Summary of Kingfisher-1 Zone</t>
  </si>
  <si>
    <t>Total Sales Summary of Kingfisher-2 Zone</t>
  </si>
  <si>
    <t>Month of February to December-2025</t>
  </si>
  <si>
    <t>Total Sales Summary of Kingfisher-4 Zone</t>
  </si>
  <si>
    <t>Month of July to December-2025</t>
  </si>
  <si>
    <t xml:space="preserve">Monthly Average Collection : </t>
  </si>
  <si>
    <t xml:space="preserve">Target Achievment : </t>
  </si>
  <si>
    <t>Monthly Average target :</t>
  </si>
  <si>
    <t xml:space="preserve">Monthly Average Sales  : </t>
  </si>
  <si>
    <t>Market Dues :</t>
  </si>
  <si>
    <t>Assigned Officer : Mr. Jayonta Das</t>
  </si>
  <si>
    <t>Assigned Officer: Mr. Shankor Kumar Das</t>
  </si>
  <si>
    <t xml:space="preserve"> Assigned Officer: Mr. Abdus Selim</t>
  </si>
  <si>
    <t xml:space="preserve">Assigned Officer : Mr. Abu Sayed </t>
  </si>
  <si>
    <t xml:space="preserve">Assigned Officer: Mr. Shaiem Akando </t>
  </si>
  <si>
    <t>Assigned Officer: Mr. Asraful Islam</t>
  </si>
  <si>
    <t xml:space="preserve">Assigned Officer: Mr. Pobitrow kumar Mondal </t>
  </si>
  <si>
    <t xml:space="preserve">Assigned Officer: Mr. Hijbul Bahar </t>
  </si>
  <si>
    <t xml:space="preserve">Assigned Officer : Mr. Nur Md Fahim </t>
  </si>
  <si>
    <t xml:space="preserve">Assigned Officer: Mr. </t>
  </si>
  <si>
    <t xml:space="preserve">Assigned Officer: Mr. Nazrul Hoque </t>
  </si>
  <si>
    <t>Month of October to December -2025</t>
  </si>
  <si>
    <t>Total Sales Summary of Magpie-4 Tarakanda</t>
  </si>
  <si>
    <t xml:space="preserve">Month </t>
  </si>
  <si>
    <t xml:space="preserve">Name </t>
  </si>
  <si>
    <t xml:space="preserve">Previous </t>
  </si>
  <si>
    <t>Dues</t>
  </si>
  <si>
    <t xml:space="preserve">Rtd. </t>
  </si>
  <si>
    <t>Goods</t>
  </si>
  <si>
    <t xml:space="preserve">Operation Sales </t>
  </si>
  <si>
    <t xml:space="preserve">Wintech Agro Bangladesh </t>
  </si>
  <si>
    <t xml:space="preserve">Assigned Officer: Mr. Mojahidul Islam Shoaib &amp; Mr. Abu Hasnat </t>
  </si>
  <si>
    <t xml:space="preserve">Monthly Average Sales </t>
  </si>
  <si>
    <t xml:space="preserve">(02 Person Jointly)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</si>
</sst>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name val="Arial"/>
      <family val="2"/>
    </font>
    <font>
      <sz val="16"/>
      <name val="Arial"/>
      <family val="2"/>
    </font>
    <font>
      <sz val="8"/>
      <name val="Arial"/>
      <family val="2"/>
    </font>
    <font>
      <u/>
      <sz val="18"/>
      <name val="Arial"/>
      <family val="2"/>
    </font>
    <font>
      <sz val="15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20"/>
      <name val="Arial"/>
      <family val="2"/>
    </font>
    <font>
      <sz val="10"/>
      <name val="Arial"/>
      <family val="2"/>
    </font>
    <font>
      <u/>
      <sz val="16"/>
      <name val="Arial"/>
      <family val="2"/>
    </font>
    <font>
      <sz val="18"/>
      <name val="Arial"/>
      <family val="2"/>
    </font>
    <font>
      <sz val="9"/>
      <name val="Arial"/>
      <family val="2"/>
    </font>
    <font>
      <sz val="11"/>
      <color theme="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theme="2" tint="-0.89999084444715716"/>
      <name val="Arial"/>
      <family val="2"/>
    </font>
    <font>
      <sz val="9"/>
      <color theme="2" tint="-0.89999084444715716"/>
      <name val="Arial"/>
      <family val="2"/>
    </font>
    <font>
      <sz val="9"/>
      <color theme="1"/>
      <name val="Calibri"/>
      <family val="2"/>
      <scheme val="minor"/>
    </font>
    <font>
      <sz val="22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4" fillId="0" borderId="0" xfId="0" applyFont="1"/>
    <xf numFmtId="164" fontId="4" fillId="0" borderId="1" xfId="1" applyFont="1" applyBorder="1" applyAlignment="1">
      <alignment horizontal="center"/>
    </xf>
    <xf numFmtId="164" fontId="4" fillId="0" borderId="2" xfId="1" applyFont="1" applyBorder="1" applyAlignment="1">
      <alignment horizontal="center"/>
    </xf>
    <xf numFmtId="164" fontId="4" fillId="0" borderId="3" xfId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4" fontId="4" fillId="0" borderId="4" xfId="1" applyFont="1" applyBorder="1" applyAlignment="1">
      <alignment horizontal="center"/>
    </xf>
    <xf numFmtId="164" fontId="4" fillId="0" borderId="5" xfId="1" applyFont="1" applyBorder="1" applyAlignment="1">
      <alignment horizontal="center"/>
    </xf>
    <xf numFmtId="164" fontId="4" fillId="0" borderId="6" xfId="1" applyFont="1" applyBorder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4" fontId="4" fillId="0" borderId="7" xfId="1" applyFont="1" applyBorder="1"/>
    <xf numFmtId="164" fontId="4" fillId="0" borderId="8" xfId="1" applyFont="1" applyBorder="1"/>
    <xf numFmtId="164" fontId="4" fillId="0" borderId="7" xfId="1" applyFont="1" applyFill="1" applyBorder="1"/>
    <xf numFmtId="2" fontId="4" fillId="0" borderId="7" xfId="0" applyNumberFormat="1" applyFont="1" applyBorder="1" applyAlignment="1">
      <alignment horizontal="center"/>
    </xf>
    <xf numFmtId="164" fontId="4" fillId="0" borderId="2" xfId="1" applyFont="1" applyBorder="1"/>
    <xf numFmtId="164" fontId="4" fillId="0" borderId="9" xfId="1" applyFont="1" applyBorder="1"/>
    <xf numFmtId="2" fontId="4" fillId="0" borderId="8" xfId="0" applyNumberFormat="1" applyFont="1" applyBorder="1" applyAlignment="1">
      <alignment horizontal="center"/>
    </xf>
    <xf numFmtId="164" fontId="7" fillId="0" borderId="7" xfId="1" applyFont="1" applyBorder="1"/>
    <xf numFmtId="164" fontId="7" fillId="0" borderId="8" xfId="1" applyFont="1" applyBorder="1"/>
    <xf numFmtId="2" fontId="7" fillId="0" borderId="7" xfId="0" applyNumberFormat="1" applyFont="1" applyBorder="1" applyAlignment="1">
      <alignment horizontal="center"/>
    </xf>
    <xf numFmtId="164" fontId="4" fillId="2" borderId="2" xfId="1" applyFont="1" applyFill="1" applyBorder="1"/>
    <xf numFmtId="164" fontId="8" fillId="2" borderId="2" xfId="1" applyFont="1" applyFill="1" applyBorder="1"/>
    <xf numFmtId="164" fontId="8" fillId="2" borderId="7" xfId="1" applyFont="1" applyFill="1" applyBorder="1"/>
    <xf numFmtId="0" fontId="10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64" fontId="4" fillId="0" borderId="7" xfId="1" applyFont="1" applyBorder="1" applyAlignment="1">
      <alignment horizontal="center"/>
    </xf>
    <xf numFmtId="164" fontId="10" fillId="0" borderId="0" xfId="1" applyFont="1" applyFill="1" applyBorder="1"/>
    <xf numFmtId="0" fontId="14" fillId="0" borderId="0" xfId="0" applyFont="1"/>
    <xf numFmtId="10" fontId="14" fillId="0" borderId="0" xfId="0" applyNumberFormat="1" applyFont="1"/>
    <xf numFmtId="43" fontId="14" fillId="0" borderId="0" xfId="0" applyNumberFormat="1" applyFont="1"/>
    <xf numFmtId="164" fontId="15" fillId="0" borderId="7" xfId="1" applyFont="1" applyBorder="1"/>
    <xf numFmtId="164" fontId="15" fillId="0" borderId="7" xfId="1" applyFont="1" applyBorder="1" applyAlignment="1">
      <alignment vertical="center"/>
    </xf>
    <xf numFmtId="164" fontId="13" fillId="0" borderId="1" xfId="1" applyFont="1" applyBorder="1" applyAlignment="1">
      <alignment horizontal="center" vertical="center"/>
    </xf>
    <xf numFmtId="164" fontId="13" fillId="0" borderId="2" xfId="1" applyFont="1" applyBorder="1" applyAlignment="1">
      <alignment horizontal="center" vertical="center"/>
    </xf>
    <xf numFmtId="164" fontId="13" fillId="0" borderId="3" xfId="1" applyFont="1" applyBorder="1" applyAlignment="1">
      <alignment horizontal="center" vertical="center"/>
    </xf>
    <xf numFmtId="164" fontId="13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164" fontId="13" fillId="0" borderId="4" xfId="1" applyFont="1" applyBorder="1" applyAlignment="1">
      <alignment horizontal="center" vertical="center"/>
    </xf>
    <xf numFmtId="164" fontId="13" fillId="0" borderId="5" xfId="1" applyFont="1" applyBorder="1" applyAlignment="1">
      <alignment horizontal="center" vertical="center"/>
    </xf>
    <xf numFmtId="164" fontId="13" fillId="0" borderId="6" xfId="1" applyFont="1" applyBorder="1" applyAlignment="1">
      <alignment horizontal="center" vertical="center"/>
    </xf>
    <xf numFmtId="164" fontId="13" fillId="0" borderId="5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64" fontId="16" fillId="2" borderId="2" xfId="1" applyFont="1" applyFill="1" applyBorder="1" applyAlignment="1">
      <alignment vertical="center"/>
    </xf>
    <xf numFmtId="164" fontId="13" fillId="0" borderId="7" xfId="1" applyFont="1" applyBorder="1" applyAlignment="1">
      <alignment vertical="center"/>
    </xf>
    <xf numFmtId="164" fontId="13" fillId="0" borderId="8" xfId="1" applyFont="1" applyBorder="1" applyAlignment="1">
      <alignment vertical="center"/>
    </xf>
    <xf numFmtId="164" fontId="13" fillId="0" borderId="9" xfId="1" applyFont="1" applyBorder="1" applyAlignment="1">
      <alignment vertical="center"/>
    </xf>
    <xf numFmtId="2" fontId="13" fillId="0" borderId="8" xfId="0" applyNumberFormat="1" applyFont="1" applyBorder="1" applyAlignment="1">
      <alignment horizontal="center" vertical="center"/>
    </xf>
    <xf numFmtId="2" fontId="13" fillId="0" borderId="7" xfId="0" applyNumberFormat="1" applyFont="1" applyBorder="1" applyAlignment="1">
      <alignment horizontal="center" vertical="center"/>
    </xf>
    <xf numFmtId="164" fontId="16" fillId="2" borderId="7" xfId="1" applyFont="1" applyFill="1" applyBorder="1" applyAlignment="1">
      <alignment vertical="center"/>
    </xf>
    <xf numFmtId="164" fontId="13" fillId="0" borderId="5" xfId="1" applyFont="1" applyBorder="1" applyAlignment="1">
      <alignment vertical="center"/>
    </xf>
    <xf numFmtId="164" fontId="13" fillId="0" borderId="7" xfId="1" applyFont="1" applyFill="1" applyBorder="1" applyAlignment="1">
      <alignment vertical="center"/>
    </xf>
    <xf numFmtId="164" fontId="13" fillId="0" borderId="7" xfId="1" applyFont="1" applyBorder="1" applyAlignment="1">
      <alignment horizontal="center" vertical="center"/>
    </xf>
    <xf numFmtId="164" fontId="13" fillId="2" borderId="2" xfId="1" applyFont="1" applyFill="1" applyBorder="1" applyAlignment="1">
      <alignment vertical="center"/>
    </xf>
    <xf numFmtId="164" fontId="13" fillId="0" borderId="2" xfId="1" applyFont="1" applyBorder="1" applyAlignment="1">
      <alignment vertical="center"/>
    </xf>
    <xf numFmtId="164" fontId="15" fillId="0" borderId="8" xfId="1" applyFont="1" applyBorder="1" applyAlignment="1">
      <alignment vertical="center"/>
    </xf>
    <xf numFmtId="164" fontId="17" fillId="0" borderId="7" xfId="1" applyFont="1" applyBorder="1" applyAlignment="1">
      <alignment vertical="center"/>
    </xf>
    <xf numFmtId="2" fontId="15" fillId="0" borderId="7" xfId="0" applyNumberFormat="1" applyFont="1" applyBorder="1" applyAlignment="1">
      <alignment horizontal="center" vertical="center"/>
    </xf>
    <xf numFmtId="164" fontId="18" fillId="0" borderId="7" xfId="1" applyFont="1" applyBorder="1" applyAlignment="1">
      <alignment horizontal="center" vertical="center"/>
    </xf>
    <xf numFmtId="164" fontId="18" fillId="0" borderId="2" xfId="1" applyFont="1" applyBorder="1" applyAlignment="1">
      <alignment horizontal="center" vertical="center"/>
    </xf>
    <xf numFmtId="164" fontId="13" fillId="0" borderId="1" xfId="1" applyFont="1" applyBorder="1" applyAlignment="1">
      <alignment horizontal="center"/>
    </xf>
    <xf numFmtId="164" fontId="13" fillId="0" borderId="2" xfId="1" applyFont="1" applyBorder="1" applyAlignment="1">
      <alignment horizontal="center"/>
    </xf>
    <xf numFmtId="164" fontId="13" fillId="0" borderId="3" xfId="1" applyFont="1" applyBorder="1" applyAlignment="1">
      <alignment horizontal="center"/>
    </xf>
    <xf numFmtId="164" fontId="13" fillId="0" borderId="2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9" fillId="0" borderId="0" xfId="0" applyFont="1"/>
    <xf numFmtId="164" fontId="13" fillId="0" borderId="4" xfId="1" applyFont="1" applyBorder="1" applyAlignment="1">
      <alignment horizontal="center"/>
    </xf>
    <xf numFmtId="164" fontId="13" fillId="0" borderId="5" xfId="1" applyFont="1" applyBorder="1" applyAlignment="1">
      <alignment horizontal="center"/>
    </xf>
    <xf numFmtId="164" fontId="13" fillId="0" borderId="6" xfId="1" applyFont="1" applyBorder="1" applyAlignment="1">
      <alignment horizontal="center"/>
    </xf>
    <xf numFmtId="164" fontId="13" fillId="0" borderId="5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164" fontId="16" fillId="2" borderId="2" xfId="1" applyFont="1" applyFill="1" applyBorder="1"/>
    <xf numFmtId="164" fontId="13" fillId="0" borderId="2" xfId="1" applyFont="1" applyBorder="1"/>
    <xf numFmtId="164" fontId="13" fillId="0" borderId="7" xfId="1" applyFont="1" applyBorder="1"/>
    <xf numFmtId="164" fontId="13" fillId="0" borderId="8" xfId="1" applyFont="1" applyBorder="1"/>
    <xf numFmtId="164" fontId="13" fillId="0" borderId="9" xfId="1" applyFont="1" applyBorder="1"/>
    <xf numFmtId="2" fontId="13" fillId="0" borderId="8" xfId="0" applyNumberFormat="1" applyFont="1" applyBorder="1" applyAlignment="1">
      <alignment horizontal="center"/>
    </xf>
    <xf numFmtId="2" fontId="13" fillId="0" borderId="7" xfId="0" applyNumberFormat="1" applyFont="1" applyBorder="1"/>
    <xf numFmtId="164" fontId="16" fillId="2" borderId="7" xfId="1" applyFont="1" applyFill="1" applyBorder="1"/>
    <xf numFmtId="164" fontId="13" fillId="0" borderId="7" xfId="1" applyFont="1" applyFill="1" applyBorder="1"/>
    <xf numFmtId="164" fontId="13" fillId="0" borderId="5" xfId="1" applyFont="1" applyBorder="1"/>
    <xf numFmtId="164" fontId="13" fillId="2" borderId="2" xfId="1" applyFont="1" applyFill="1" applyBorder="1"/>
    <xf numFmtId="164" fontId="15" fillId="0" borderId="8" xfId="1" applyFont="1" applyBorder="1"/>
    <xf numFmtId="2" fontId="15" fillId="0" borderId="7" xfId="0" applyNumberFormat="1" applyFont="1" applyBorder="1"/>
    <xf numFmtId="2" fontId="15" fillId="0" borderId="8" xfId="0" applyNumberFormat="1" applyFont="1" applyBorder="1" applyAlignment="1">
      <alignment horizontal="center"/>
    </xf>
    <xf numFmtId="0" fontId="10" fillId="0" borderId="0" xfId="0" applyFont="1"/>
    <xf numFmtId="164" fontId="18" fillId="0" borderId="2" xfId="1" applyFont="1" applyBorder="1" applyAlignment="1">
      <alignment horizontal="center"/>
    </xf>
    <xf numFmtId="2" fontId="13" fillId="0" borderId="7" xfId="0" applyNumberFormat="1" applyFont="1" applyBorder="1" applyAlignment="1">
      <alignment horizontal="center"/>
    </xf>
    <xf numFmtId="164" fontId="18" fillId="0" borderId="7" xfId="1" applyFont="1" applyBorder="1" applyAlignment="1">
      <alignment horizontal="center"/>
    </xf>
    <xf numFmtId="164" fontId="13" fillId="0" borderId="7" xfId="1" applyFont="1" applyBorder="1" applyAlignment="1">
      <alignment horizontal="center"/>
    </xf>
    <xf numFmtId="164" fontId="17" fillId="0" borderId="7" xfId="1" applyFont="1" applyBorder="1"/>
    <xf numFmtId="2" fontId="15" fillId="0" borderId="7" xfId="0" applyNumberFormat="1" applyFont="1" applyBorder="1" applyAlignment="1">
      <alignment horizont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2" fontId="13" fillId="0" borderId="7" xfId="0" applyNumberFormat="1" applyFont="1" applyBorder="1" applyAlignment="1">
      <alignment vertical="center"/>
    </xf>
    <xf numFmtId="2" fontId="15" fillId="0" borderId="7" xfId="0" applyNumberFormat="1" applyFont="1" applyBorder="1" applyAlignment="1">
      <alignment vertical="center"/>
    </xf>
    <xf numFmtId="164" fontId="7" fillId="0" borderId="0" xfId="1" applyFont="1" applyFill="1" applyBorder="1" applyAlignment="1">
      <alignment vertical="center"/>
    </xf>
    <xf numFmtId="164" fontId="4" fillId="0" borderId="0" xfId="1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164" fontId="4" fillId="0" borderId="0" xfId="1" applyFont="1"/>
    <xf numFmtId="43" fontId="0" fillId="0" borderId="0" xfId="0" applyNumberFormat="1"/>
    <xf numFmtId="41" fontId="14" fillId="0" borderId="0" xfId="0" applyNumberFormat="1" applyFont="1" applyAlignment="1">
      <alignment horizontal="center"/>
    </xf>
    <xf numFmtId="10" fontId="14" fillId="0" borderId="0" xfId="1" applyNumberFormat="1" applyFont="1" applyAlignment="1">
      <alignment horizontal="right"/>
    </xf>
    <xf numFmtId="43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1" applyNumberFormat="1" applyFont="1" applyAlignment="1">
      <alignment vertical="center"/>
    </xf>
    <xf numFmtId="10" fontId="14" fillId="0" borderId="0" xfId="1" applyNumberFormat="1" applyFont="1" applyAlignment="1">
      <alignment horizontal="right" vertical="center"/>
    </xf>
    <xf numFmtId="10" fontId="14" fillId="0" borderId="0" xfId="1" applyNumberFormat="1" applyFont="1"/>
    <xf numFmtId="0" fontId="22" fillId="0" borderId="0" xfId="0" applyFont="1"/>
    <xf numFmtId="41" fontId="14" fillId="0" borderId="0" xfId="0" applyNumberFormat="1" applyFont="1"/>
    <xf numFmtId="10" fontId="14" fillId="0" borderId="0" xfId="1" applyNumberFormat="1" applyFont="1" applyAlignment="1"/>
    <xf numFmtId="10" fontId="14" fillId="0" borderId="0" xfId="2" applyNumberFormat="1" applyFont="1" applyAlignment="1">
      <alignment horizontal="right"/>
    </xf>
    <xf numFmtId="0" fontId="14" fillId="0" borderId="0" xfId="0" applyFont="1" applyAlignment="1">
      <alignment horizontal="center" vertical="center"/>
    </xf>
    <xf numFmtId="164" fontId="23" fillId="0" borderId="0" xfId="1" applyFont="1" applyFill="1" applyBorder="1"/>
    <xf numFmtId="0" fontId="14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164" fontId="23" fillId="0" borderId="0" xfId="1" applyFont="1" applyAlignment="1">
      <alignment vertical="center"/>
    </xf>
    <xf numFmtId="164" fontId="23" fillId="0" borderId="0" xfId="1" applyFont="1"/>
    <xf numFmtId="164" fontId="23" fillId="0" borderId="0" xfId="1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64" fontId="23" fillId="0" borderId="0" xfId="1" applyFont="1" applyFill="1" applyBorder="1" applyAlignment="1">
      <alignment horizontal="left" vertical="center"/>
    </xf>
    <xf numFmtId="0" fontId="3" fillId="0" borderId="0" xfId="0" applyFont="1" applyAlignment="1">
      <alignment horizontal="center"/>
    </xf>
  </cellXfs>
  <cellStyles count="3">
    <cellStyle name="কমা" xfId="1" builtinId="3"/>
    <cellStyle name="শতাংশ" xfId="2" builtinId="5"/>
    <cellStyle name="সাধারণ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view="pageLayout" topLeftCell="A10" zoomScaleNormal="115" workbookViewId="0">
      <selection activeCell="K27" sqref="K27"/>
    </sheetView>
  </sheetViews>
  <sheetFormatPr defaultRowHeight="15" x14ac:dyDescent="0.25"/>
  <cols>
    <col min="1" max="1" width="10.28515625" style="94" customWidth="1"/>
    <col min="2" max="2" width="12.42578125" style="94" bestFit="1" customWidth="1"/>
    <col min="3" max="3" width="13.85546875" style="94" bestFit="1" customWidth="1"/>
    <col min="4" max="4" width="12.5703125" style="94" bestFit="1" customWidth="1"/>
    <col min="5" max="5" width="11" style="94" bestFit="1" customWidth="1"/>
    <col min="6" max="6" width="12.42578125" style="94" bestFit="1" customWidth="1"/>
    <col min="7" max="7" width="10.85546875" style="94" customWidth="1"/>
    <col min="8" max="8" width="12.28515625" style="94" customWidth="1"/>
    <col min="9" max="9" width="9.140625" style="94"/>
    <col min="10" max="10" width="12.42578125" style="94" bestFit="1" customWidth="1"/>
    <col min="11" max="11" width="16.7109375" style="94" bestFit="1" customWidth="1"/>
    <col min="12" max="12" width="9.85546875" style="94" bestFit="1" customWidth="1"/>
    <col min="13" max="13" width="14" style="94" bestFit="1" customWidth="1"/>
    <col min="14" max="14" width="13.5703125" style="94" customWidth="1"/>
    <col min="15" max="16384" width="9.140625" style="94"/>
  </cols>
  <sheetData>
    <row r="1" spans="1:12" ht="25.5" x14ac:dyDescent="0.25">
      <c r="A1" s="130" t="s">
        <v>15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</row>
    <row r="2" spans="1:12" ht="20.25" x14ac:dyDescent="0.25">
      <c r="A2" s="131" t="s">
        <v>0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</row>
    <row r="3" spans="1:12" ht="20.25" x14ac:dyDescent="0.25">
      <c r="A3" s="132" t="s">
        <v>34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</row>
    <row r="4" spans="1:12" ht="20.25" x14ac:dyDescent="0.25">
      <c r="A4" s="131" t="s">
        <v>35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</row>
    <row r="5" spans="1:12" x14ac:dyDescent="0.25">
      <c r="A5" s="95"/>
      <c r="B5" s="95"/>
      <c r="C5" s="95"/>
      <c r="D5" s="95"/>
      <c r="E5" s="95"/>
      <c r="F5" s="95"/>
      <c r="G5" s="95"/>
      <c r="I5" s="95"/>
      <c r="J5" s="96" t="s">
        <v>53</v>
      </c>
      <c r="K5" s="95"/>
      <c r="L5" s="95"/>
    </row>
    <row r="6" spans="1:12" s="97" customFormat="1" ht="16.5" customHeight="1" x14ac:dyDescent="0.25">
      <c r="A6" s="34" t="s">
        <v>1</v>
      </c>
      <c r="B6" s="35" t="s">
        <v>2</v>
      </c>
      <c r="C6" s="36" t="s">
        <v>3</v>
      </c>
      <c r="D6" s="35" t="s">
        <v>4</v>
      </c>
      <c r="E6" s="35" t="s">
        <v>5</v>
      </c>
      <c r="F6" s="35" t="s">
        <v>6</v>
      </c>
      <c r="G6" s="36" t="s">
        <v>7</v>
      </c>
      <c r="H6" s="35" t="s">
        <v>8</v>
      </c>
      <c r="I6" s="35" t="s">
        <v>9</v>
      </c>
      <c r="J6" s="36" t="s">
        <v>10</v>
      </c>
      <c r="K6" s="37" t="s">
        <v>2</v>
      </c>
      <c r="L6" s="38" t="s">
        <v>11</v>
      </c>
    </row>
    <row r="7" spans="1:12" s="97" customFormat="1" ht="12" x14ac:dyDescent="0.25">
      <c r="A7" s="40"/>
      <c r="B7" s="41"/>
      <c r="C7" s="42"/>
      <c r="D7" s="41"/>
      <c r="E7" s="41"/>
      <c r="F7" s="41"/>
      <c r="G7" s="42"/>
      <c r="H7" s="41"/>
      <c r="I7" s="41"/>
      <c r="J7" s="42"/>
      <c r="K7" s="43" t="s">
        <v>12</v>
      </c>
      <c r="L7" s="44" t="s">
        <v>13</v>
      </c>
    </row>
    <row r="8" spans="1:12" s="97" customFormat="1" ht="19.5" customHeight="1" x14ac:dyDescent="0.25">
      <c r="A8" s="45" t="s">
        <v>16</v>
      </c>
      <c r="B8" s="56">
        <v>300000</v>
      </c>
      <c r="C8" s="46">
        <v>462479</v>
      </c>
      <c r="D8" s="47">
        <v>168980</v>
      </c>
      <c r="E8" s="46">
        <v>2900</v>
      </c>
      <c r="F8" s="46">
        <f>D8-E8</f>
        <v>166080</v>
      </c>
      <c r="G8" s="46">
        <v>7300</v>
      </c>
      <c r="H8" s="46">
        <v>99860</v>
      </c>
      <c r="I8" s="48"/>
      <c r="J8" s="46">
        <f>C8+D8-E8-G8-H8-I8</f>
        <v>521399</v>
      </c>
      <c r="K8" s="49">
        <f>F8*100/B8</f>
        <v>55.36</v>
      </c>
      <c r="L8" s="98">
        <f>F8*100/F20</f>
        <v>5.4231301988807612</v>
      </c>
    </row>
    <row r="9" spans="1:12" s="97" customFormat="1" ht="19.5" customHeight="1" x14ac:dyDescent="0.25">
      <c r="A9" s="51" t="s">
        <v>17</v>
      </c>
      <c r="B9" s="46">
        <v>300000</v>
      </c>
      <c r="C9" s="46">
        <v>521399</v>
      </c>
      <c r="D9" s="47">
        <v>267750</v>
      </c>
      <c r="E9" s="53"/>
      <c r="F9" s="46">
        <f t="shared" ref="F9:F16" si="0">D9-E9</f>
        <v>267750</v>
      </c>
      <c r="G9" s="46">
        <v>134065</v>
      </c>
      <c r="H9" s="46">
        <v>229500</v>
      </c>
      <c r="I9" s="46">
        <v>0</v>
      </c>
      <c r="J9" s="46">
        <f t="shared" ref="J9:J16" si="1">C9+D9-E9-G9-H9-I9</f>
        <v>425584</v>
      </c>
      <c r="K9" s="49">
        <f t="shared" ref="K9:K19" si="2">F9*100/B9</f>
        <v>89.25</v>
      </c>
      <c r="L9" s="98">
        <f>F9*100/F20</f>
        <v>8.7430341446912561</v>
      </c>
    </row>
    <row r="10" spans="1:12" s="97" customFormat="1" ht="19.5" customHeight="1" x14ac:dyDescent="0.25">
      <c r="A10" s="51" t="s">
        <v>18</v>
      </c>
      <c r="B10" s="56">
        <v>300000</v>
      </c>
      <c r="C10" s="46">
        <v>425584</v>
      </c>
      <c r="D10" s="47">
        <v>378150</v>
      </c>
      <c r="E10" s="46">
        <v>16530</v>
      </c>
      <c r="F10" s="46">
        <f t="shared" si="0"/>
        <v>361620</v>
      </c>
      <c r="G10" s="46">
        <v>25040</v>
      </c>
      <c r="H10" s="46">
        <v>311350</v>
      </c>
      <c r="I10" s="48"/>
      <c r="J10" s="46">
        <f t="shared" si="1"/>
        <v>450814</v>
      </c>
      <c r="K10" s="49">
        <f t="shared" si="2"/>
        <v>120.54</v>
      </c>
      <c r="L10" s="98">
        <f>F10*100/F20</f>
        <v>11.808239056594779</v>
      </c>
    </row>
    <row r="11" spans="1:12" s="97" customFormat="1" ht="19.5" customHeight="1" x14ac:dyDescent="0.25">
      <c r="A11" s="51" t="s">
        <v>19</v>
      </c>
      <c r="B11" s="46">
        <v>400000</v>
      </c>
      <c r="C11" s="46">
        <v>450814</v>
      </c>
      <c r="D11" s="47">
        <v>455055</v>
      </c>
      <c r="E11" s="46">
        <v>7550</v>
      </c>
      <c r="F11" s="46">
        <f t="shared" si="0"/>
        <v>447505</v>
      </c>
      <c r="G11" s="46">
        <v>16580</v>
      </c>
      <c r="H11" s="46">
        <v>325570</v>
      </c>
      <c r="I11" s="46">
        <v>0</v>
      </c>
      <c r="J11" s="46">
        <f t="shared" si="1"/>
        <v>556169</v>
      </c>
      <c r="K11" s="49">
        <f t="shared" si="2"/>
        <v>111.87625</v>
      </c>
      <c r="L11" s="98">
        <f>100*F11/F20</f>
        <v>14.612703995966612</v>
      </c>
    </row>
    <row r="12" spans="1:12" s="97" customFormat="1" ht="19.5" customHeight="1" x14ac:dyDescent="0.25">
      <c r="A12" s="45" t="s">
        <v>20</v>
      </c>
      <c r="B12" s="56">
        <v>400000</v>
      </c>
      <c r="C12" s="46">
        <v>556169</v>
      </c>
      <c r="D12" s="47">
        <v>346010</v>
      </c>
      <c r="E12" s="46">
        <v>83060</v>
      </c>
      <c r="F12" s="46">
        <f t="shared" si="0"/>
        <v>262950</v>
      </c>
      <c r="G12" s="46">
        <v>770</v>
      </c>
      <c r="H12" s="46">
        <v>238000</v>
      </c>
      <c r="I12" s="46">
        <v>0</v>
      </c>
      <c r="J12" s="46">
        <f t="shared" si="1"/>
        <v>580349</v>
      </c>
      <c r="K12" s="49">
        <f t="shared" si="2"/>
        <v>65.737499999999997</v>
      </c>
      <c r="L12" s="98">
        <f>F12*100/F20</f>
        <v>8.5862962776715808</v>
      </c>
    </row>
    <row r="13" spans="1:12" s="97" customFormat="1" ht="19.5" customHeight="1" x14ac:dyDescent="0.25">
      <c r="A13" s="51" t="s">
        <v>21</v>
      </c>
      <c r="B13" s="46">
        <v>400000</v>
      </c>
      <c r="C13" s="46">
        <v>580349</v>
      </c>
      <c r="D13" s="47">
        <v>283090</v>
      </c>
      <c r="E13" s="46">
        <v>17197</v>
      </c>
      <c r="F13" s="46">
        <f t="shared" si="0"/>
        <v>265893</v>
      </c>
      <c r="G13" s="46">
        <v>6663</v>
      </c>
      <c r="H13" s="46">
        <v>156550</v>
      </c>
      <c r="I13" s="46">
        <v>0</v>
      </c>
      <c r="J13" s="46">
        <f t="shared" si="1"/>
        <v>683029</v>
      </c>
      <c r="K13" s="49">
        <f t="shared" si="2"/>
        <v>66.473249999999993</v>
      </c>
      <c r="L13" s="98">
        <f>100*F13/F20</f>
        <v>8.6823961823880182</v>
      </c>
    </row>
    <row r="14" spans="1:12" s="97" customFormat="1" ht="19.5" customHeight="1" x14ac:dyDescent="0.25">
      <c r="A14" s="51" t="s">
        <v>22</v>
      </c>
      <c r="B14" s="46">
        <v>400000</v>
      </c>
      <c r="C14" s="46">
        <v>683039</v>
      </c>
      <c r="D14" s="47">
        <v>277505</v>
      </c>
      <c r="E14" s="46">
        <v>4720</v>
      </c>
      <c r="F14" s="46">
        <f t="shared" si="0"/>
        <v>272785</v>
      </c>
      <c r="G14" s="46">
        <v>1965</v>
      </c>
      <c r="H14" s="46">
        <v>223000</v>
      </c>
      <c r="I14" s="46">
        <v>0</v>
      </c>
      <c r="J14" s="46">
        <f t="shared" si="1"/>
        <v>730859</v>
      </c>
      <c r="K14" s="49">
        <f t="shared" si="2"/>
        <v>68.196250000000006</v>
      </c>
      <c r="L14" s="98">
        <f>100*F14/F20</f>
        <v>8.9074456364504364</v>
      </c>
    </row>
    <row r="15" spans="1:12" s="97" customFormat="1" ht="19.5" customHeight="1" x14ac:dyDescent="0.25">
      <c r="A15" s="45" t="s">
        <v>23</v>
      </c>
      <c r="B15" s="56">
        <v>400000</v>
      </c>
      <c r="C15" s="46">
        <v>730859</v>
      </c>
      <c r="D15" s="47">
        <v>397005</v>
      </c>
      <c r="E15" s="46">
        <v>33530</v>
      </c>
      <c r="F15" s="46">
        <f t="shared" si="0"/>
        <v>363475</v>
      </c>
      <c r="G15" s="46">
        <v>5435</v>
      </c>
      <c r="H15" s="46">
        <v>166110</v>
      </c>
      <c r="I15" s="48">
        <v>0</v>
      </c>
      <c r="J15" s="46">
        <f t="shared" si="1"/>
        <v>922789</v>
      </c>
      <c r="K15" s="49">
        <f t="shared" si="2"/>
        <v>90.868750000000006</v>
      </c>
      <c r="L15" s="98">
        <f>F15*100/F20</f>
        <v>11.868811711453423</v>
      </c>
    </row>
    <row r="16" spans="1:12" s="97" customFormat="1" ht="19.5" customHeight="1" x14ac:dyDescent="0.25">
      <c r="A16" s="55" t="s">
        <v>24</v>
      </c>
      <c r="B16" s="56">
        <v>400000</v>
      </c>
      <c r="C16" s="46">
        <v>922789</v>
      </c>
      <c r="D16" s="47">
        <v>403915</v>
      </c>
      <c r="E16" s="46">
        <v>34500</v>
      </c>
      <c r="F16" s="46">
        <f t="shared" si="0"/>
        <v>369415</v>
      </c>
      <c r="G16" s="46">
        <v>540</v>
      </c>
      <c r="H16" s="46">
        <v>203810</v>
      </c>
      <c r="I16" s="46">
        <v>0</v>
      </c>
      <c r="J16" s="46">
        <f t="shared" si="1"/>
        <v>1087854</v>
      </c>
      <c r="K16" s="49">
        <f t="shared" si="2"/>
        <v>92.353750000000005</v>
      </c>
      <c r="L16" s="98">
        <f>F16*100/F20</f>
        <v>12.062774821890272</v>
      </c>
    </row>
    <row r="17" spans="1:13" s="97" customFormat="1" ht="19.5" customHeight="1" x14ac:dyDescent="0.25">
      <c r="A17" s="56" t="s">
        <v>25</v>
      </c>
      <c r="B17" s="56">
        <v>400000</v>
      </c>
      <c r="C17" s="46">
        <v>1087854</v>
      </c>
      <c r="D17" s="47">
        <v>227160</v>
      </c>
      <c r="E17" s="46">
        <v>47365</v>
      </c>
      <c r="F17" s="46">
        <f>D17-E17</f>
        <v>179795</v>
      </c>
      <c r="G17" s="46">
        <v>3380</v>
      </c>
      <c r="H17" s="46">
        <v>161000</v>
      </c>
      <c r="I17" s="46">
        <v>0</v>
      </c>
      <c r="J17" s="46">
        <f>C17+D17-E17-G17-H17</f>
        <v>1103269</v>
      </c>
      <c r="K17" s="49">
        <f t="shared" si="2"/>
        <v>44.948749999999997</v>
      </c>
      <c r="L17" s="98">
        <f>F17*100/F20</f>
        <v>5.8709760001671869</v>
      </c>
    </row>
    <row r="18" spans="1:13" s="97" customFormat="1" ht="19.5" customHeight="1" x14ac:dyDescent="0.25">
      <c r="A18" s="56" t="s">
        <v>26</v>
      </c>
      <c r="B18" s="56">
        <v>400000</v>
      </c>
      <c r="C18" s="46">
        <v>1103269</v>
      </c>
      <c r="D18" s="47">
        <v>116500</v>
      </c>
      <c r="E18" s="46">
        <v>91400</v>
      </c>
      <c r="F18" s="46">
        <f>D18-E18</f>
        <v>25100</v>
      </c>
      <c r="G18" s="46">
        <v>176164</v>
      </c>
      <c r="H18" s="46">
        <v>406000</v>
      </c>
      <c r="I18" s="46">
        <v>0</v>
      </c>
      <c r="J18" s="46">
        <f>C18+D18-E18-G18-H18</f>
        <v>546205</v>
      </c>
      <c r="K18" s="49">
        <f t="shared" si="2"/>
        <v>6.2750000000000004</v>
      </c>
      <c r="L18" s="98">
        <f>F18*100/F20</f>
        <v>0.81960842962371805</v>
      </c>
    </row>
    <row r="19" spans="1:13" s="97" customFormat="1" ht="19.5" customHeight="1" x14ac:dyDescent="0.25">
      <c r="A19" s="56" t="s">
        <v>27</v>
      </c>
      <c r="B19" s="56">
        <v>400000</v>
      </c>
      <c r="C19" s="46">
        <v>546205</v>
      </c>
      <c r="D19" s="47">
        <v>87150</v>
      </c>
      <c r="E19" s="46">
        <v>7080</v>
      </c>
      <c r="F19" s="46">
        <f>D19-E19</f>
        <v>80070</v>
      </c>
      <c r="G19" s="46">
        <v>25040</v>
      </c>
      <c r="H19" s="46">
        <v>116000</v>
      </c>
      <c r="I19" s="46">
        <v>0</v>
      </c>
      <c r="J19" s="46">
        <f>C19+D19-E19-G19-H19</f>
        <v>485235</v>
      </c>
      <c r="K19" s="49">
        <f t="shared" si="2"/>
        <v>20.017499999999998</v>
      </c>
      <c r="L19" s="98">
        <f>F19*100/F20</f>
        <v>2.6145835442219565</v>
      </c>
    </row>
    <row r="20" spans="1:13" s="97" customFormat="1" ht="19.5" customHeight="1" x14ac:dyDescent="0.25">
      <c r="A20" s="33" t="s">
        <v>14</v>
      </c>
      <c r="B20" s="33">
        <f t="shared" ref="B20" si="3">SUM(B8:B19)</f>
        <v>4500000</v>
      </c>
      <c r="C20" s="33"/>
      <c r="D20" s="57">
        <f>SUM(D8:D19)</f>
        <v>3408270</v>
      </c>
      <c r="E20" s="33">
        <f>SUM(E8:E19)</f>
        <v>345832</v>
      </c>
      <c r="F20" s="33">
        <f>SUM(F8:F19)</f>
        <v>3062438</v>
      </c>
      <c r="G20" s="33">
        <f>SUM(G8:G19)</f>
        <v>402942</v>
      </c>
      <c r="H20" s="33">
        <f>SUM(H8:H19)</f>
        <v>2636750</v>
      </c>
      <c r="I20" s="33"/>
      <c r="J20" s="33"/>
      <c r="K20" s="59">
        <f>F20*100/B20</f>
        <v>68.054177777777781</v>
      </c>
      <c r="L20" s="99"/>
    </row>
    <row r="21" spans="1:13" ht="13.5" customHeight="1" x14ac:dyDescent="0.25">
      <c r="A21" s="100"/>
      <c r="B21" s="95"/>
      <c r="C21" s="95"/>
      <c r="D21" s="95"/>
      <c r="E21" s="95"/>
      <c r="F21" s="95"/>
      <c r="G21" s="95"/>
      <c r="H21" s="95"/>
      <c r="I21" s="95"/>
      <c r="J21" s="101"/>
      <c r="K21" s="102"/>
      <c r="L21" s="95"/>
    </row>
    <row r="22" spans="1:13" x14ac:dyDescent="0.2">
      <c r="A22" s="28" t="s">
        <v>48</v>
      </c>
      <c r="B22" s="29"/>
      <c r="C22" s="29"/>
      <c r="D22" s="106">
        <f>F20/12</f>
        <v>255203.16666666666</v>
      </c>
      <c r="E22" s="29"/>
      <c r="F22" s="95"/>
      <c r="G22" s="95"/>
      <c r="H22" s="95"/>
      <c r="I22" s="95"/>
      <c r="J22" s="101"/>
      <c r="K22" s="95"/>
      <c r="L22" s="95"/>
      <c r="M22" s="108"/>
    </row>
    <row r="23" spans="1:13" x14ac:dyDescent="0.2">
      <c r="A23" s="28" t="s">
        <v>47</v>
      </c>
      <c r="B23" s="29"/>
      <c r="C23" s="29"/>
      <c r="D23" s="106">
        <f>B20/12</f>
        <v>375000</v>
      </c>
      <c r="E23" s="29"/>
      <c r="J23" s="101"/>
      <c r="M23" s="108"/>
    </row>
    <row r="24" spans="1:13" customFormat="1" x14ac:dyDescent="0.25">
      <c r="A24" s="28" t="s">
        <v>45</v>
      </c>
      <c r="B24" s="29"/>
      <c r="C24" s="29"/>
      <c r="D24" s="106">
        <f>H20/12</f>
        <v>219729.16666666666</v>
      </c>
      <c r="E24" s="29"/>
      <c r="J24" s="104"/>
      <c r="M24" s="105"/>
    </row>
    <row r="25" spans="1:13" x14ac:dyDescent="0.2">
      <c r="A25" s="28" t="s">
        <v>46</v>
      </c>
      <c r="B25" s="29"/>
      <c r="C25" s="29"/>
      <c r="D25" s="111">
        <v>0.68049999999999999</v>
      </c>
      <c r="E25" s="29"/>
      <c r="J25" s="101"/>
    </row>
    <row r="26" spans="1:13" x14ac:dyDescent="0.2">
      <c r="A26" s="28" t="s">
        <v>49</v>
      </c>
      <c r="B26" s="29"/>
      <c r="C26" s="29"/>
      <c r="D26" s="112">
        <v>0.31950000000000001</v>
      </c>
      <c r="E26" s="29"/>
    </row>
    <row r="27" spans="1:13" x14ac:dyDescent="0.2">
      <c r="A27" s="29"/>
      <c r="B27" s="29"/>
      <c r="C27" s="29"/>
      <c r="E27" s="29"/>
      <c r="J27" s="117" t="s">
        <v>69</v>
      </c>
      <c r="K27" s="109"/>
    </row>
    <row r="28" spans="1:13" x14ac:dyDescent="0.25">
      <c r="D28" s="110"/>
      <c r="J28" s="117" t="s">
        <v>70</v>
      </c>
      <c r="K28" s="109"/>
    </row>
    <row r="29" spans="1:13" x14ac:dyDescent="0.25">
      <c r="D29" s="110"/>
    </row>
    <row r="30" spans="1:13" x14ac:dyDescent="0.25">
      <c r="D30" s="108"/>
    </row>
  </sheetData>
  <mergeCells count="4">
    <mergeCell ref="A1:L1"/>
    <mergeCell ref="A2:L2"/>
    <mergeCell ref="A3:L3"/>
    <mergeCell ref="A4:L4"/>
  </mergeCells>
  <pageMargins left="0.25" right="0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8"/>
  <sheetViews>
    <sheetView view="pageLayout" topLeftCell="A7" zoomScaleNormal="130" workbookViewId="0">
      <selection activeCell="F5" sqref="F5"/>
    </sheetView>
  </sheetViews>
  <sheetFormatPr defaultRowHeight="15" x14ac:dyDescent="0.25"/>
  <cols>
    <col min="1" max="1" width="10.85546875" bestFit="1" customWidth="1"/>
    <col min="2" max="2" width="12.42578125" bestFit="1" customWidth="1"/>
    <col min="3" max="3" width="13.140625" customWidth="1"/>
    <col min="4" max="4" width="12.42578125" bestFit="1" customWidth="1"/>
    <col min="5" max="5" width="11" bestFit="1" customWidth="1"/>
    <col min="6" max="8" width="12.42578125" bestFit="1" customWidth="1"/>
    <col min="9" max="9" width="10.7109375" customWidth="1"/>
    <col min="10" max="10" width="12.42578125" customWidth="1"/>
    <col min="11" max="11" width="15" bestFit="1" customWidth="1"/>
    <col min="12" max="12" width="9.85546875" bestFit="1" customWidth="1"/>
  </cols>
  <sheetData>
    <row r="1" spans="1:12" ht="30" x14ac:dyDescent="0.4">
      <c r="A1" s="127" t="s">
        <v>15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</row>
    <row r="2" spans="1:12" ht="23.25" x14ac:dyDescent="0.35">
      <c r="A2" s="133" t="s">
        <v>38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</row>
    <row r="3" spans="1:12" ht="18.75" x14ac:dyDescent="0.25">
      <c r="A3" s="129" t="s">
        <v>35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 t="s">
        <v>54</v>
      </c>
      <c r="J4" s="1"/>
      <c r="K4" s="1"/>
      <c r="L4" s="1"/>
    </row>
    <row r="5" spans="1:12" s="67" customFormat="1" ht="18" customHeight="1" x14ac:dyDescent="0.2">
      <c r="A5" s="62" t="s">
        <v>1</v>
      </c>
      <c r="B5" s="63" t="s">
        <v>2</v>
      </c>
      <c r="C5" s="64" t="s">
        <v>3</v>
      </c>
      <c r="D5" s="63" t="s">
        <v>4</v>
      </c>
      <c r="E5" s="63" t="s">
        <v>5</v>
      </c>
      <c r="F5" s="63" t="s">
        <v>6</v>
      </c>
      <c r="G5" s="64" t="s">
        <v>7</v>
      </c>
      <c r="H5" s="63" t="s">
        <v>8</v>
      </c>
      <c r="I5" s="63" t="s">
        <v>9</v>
      </c>
      <c r="J5" s="64" t="s">
        <v>10</v>
      </c>
      <c r="K5" s="65" t="s">
        <v>2</v>
      </c>
      <c r="L5" s="66" t="s">
        <v>11</v>
      </c>
    </row>
    <row r="6" spans="1:12" s="67" customFormat="1" ht="18" customHeight="1" x14ac:dyDescent="0.2">
      <c r="A6" s="68"/>
      <c r="B6" s="69"/>
      <c r="C6" s="70"/>
      <c r="D6" s="69"/>
      <c r="E6" s="69"/>
      <c r="F6" s="69"/>
      <c r="G6" s="70"/>
      <c r="H6" s="69"/>
      <c r="I6" s="69"/>
      <c r="J6" s="70"/>
      <c r="K6" s="71" t="s">
        <v>12</v>
      </c>
      <c r="L6" s="72" t="s">
        <v>13</v>
      </c>
    </row>
    <row r="7" spans="1:12" s="67" customFormat="1" ht="18" customHeight="1" x14ac:dyDescent="0.2">
      <c r="A7" s="73" t="s">
        <v>16</v>
      </c>
      <c r="B7" s="74">
        <v>200000</v>
      </c>
      <c r="C7" s="75">
        <v>1179980</v>
      </c>
      <c r="D7" s="76">
        <v>170160</v>
      </c>
      <c r="E7" s="75"/>
      <c r="F7" s="75">
        <v>170160</v>
      </c>
      <c r="G7" s="75">
        <v>34090</v>
      </c>
      <c r="H7" s="75">
        <v>166200</v>
      </c>
      <c r="I7" s="77"/>
      <c r="J7" s="75">
        <f>C7+D7-E7-G7-H7-I7</f>
        <v>1149850</v>
      </c>
      <c r="K7" s="78">
        <f>F7*100/B7</f>
        <v>85.08</v>
      </c>
      <c r="L7" s="79">
        <f>F7*100/F19</f>
        <v>10.748083271116231</v>
      </c>
    </row>
    <row r="8" spans="1:12" s="67" customFormat="1" ht="18" customHeight="1" x14ac:dyDescent="0.2">
      <c r="A8" s="80" t="s">
        <v>17</v>
      </c>
      <c r="B8" s="75">
        <v>200000</v>
      </c>
      <c r="C8" s="75">
        <v>337020</v>
      </c>
      <c r="D8" s="76">
        <v>84965</v>
      </c>
      <c r="E8" s="81"/>
      <c r="F8" s="75">
        <v>84965</v>
      </c>
      <c r="G8" s="75">
        <v>7520</v>
      </c>
      <c r="H8" s="75">
        <v>101170</v>
      </c>
      <c r="I8" s="75">
        <v>99840</v>
      </c>
      <c r="J8" s="75">
        <f t="shared" ref="J8:J17" si="0">C8+D8-E8-G8-H8-I8</f>
        <v>213455</v>
      </c>
      <c r="K8" s="78">
        <f t="shared" ref="K8:K18" si="1">F8*100/B8</f>
        <v>42.482500000000002</v>
      </c>
      <c r="L8" s="79">
        <f>F8*100/F19</f>
        <v>5.3667777099811387</v>
      </c>
    </row>
    <row r="9" spans="1:12" s="67" customFormat="1" ht="18" customHeight="1" x14ac:dyDescent="0.2">
      <c r="A9" s="80" t="s">
        <v>18</v>
      </c>
      <c r="B9" s="75">
        <v>200000</v>
      </c>
      <c r="C9" s="75">
        <v>213455</v>
      </c>
      <c r="D9" s="76">
        <v>281320</v>
      </c>
      <c r="E9" s="81">
        <v>53030</v>
      </c>
      <c r="F9" s="75">
        <f>D9-E9</f>
        <v>228290</v>
      </c>
      <c r="G9" s="75">
        <v>4865</v>
      </c>
      <c r="H9" s="75">
        <v>132860</v>
      </c>
      <c r="I9" s="75">
        <v>0</v>
      </c>
      <c r="J9" s="75">
        <f t="shared" si="0"/>
        <v>304020</v>
      </c>
      <c r="K9" s="78">
        <f t="shared" si="1"/>
        <v>114.145</v>
      </c>
      <c r="L9" s="79">
        <f>F9*100/F19</f>
        <v>14.419839738852401</v>
      </c>
    </row>
    <row r="10" spans="1:12" s="67" customFormat="1" ht="18" customHeight="1" x14ac:dyDescent="0.2">
      <c r="A10" s="80" t="s">
        <v>19</v>
      </c>
      <c r="B10" s="75">
        <v>350000</v>
      </c>
      <c r="C10" s="75">
        <v>304020</v>
      </c>
      <c r="D10" s="76">
        <v>38815</v>
      </c>
      <c r="E10" s="75"/>
      <c r="F10" s="75">
        <v>38815</v>
      </c>
      <c r="G10" s="75">
        <v>1550</v>
      </c>
      <c r="H10" s="75">
        <v>46180</v>
      </c>
      <c r="I10" s="75">
        <v>0</v>
      </c>
      <c r="J10" s="75">
        <f t="shared" si="0"/>
        <v>295105</v>
      </c>
      <c r="K10" s="78">
        <f t="shared" si="1"/>
        <v>11.09</v>
      </c>
      <c r="L10" s="79">
        <f>F10*100/F19</f>
        <v>2.4517327936552453</v>
      </c>
    </row>
    <row r="11" spans="1:12" s="67" customFormat="1" ht="18" customHeight="1" x14ac:dyDescent="0.2">
      <c r="A11" s="73" t="s">
        <v>28</v>
      </c>
      <c r="B11" s="74">
        <v>350000</v>
      </c>
      <c r="C11" s="75">
        <v>295105</v>
      </c>
      <c r="D11" s="76">
        <v>93950</v>
      </c>
      <c r="E11" s="75"/>
      <c r="F11" s="75">
        <v>93950</v>
      </c>
      <c r="G11" s="75">
        <v>1780</v>
      </c>
      <c r="H11" s="75">
        <v>53400</v>
      </c>
      <c r="I11" s="75">
        <v>0</v>
      </c>
      <c r="J11" s="75">
        <f t="shared" si="0"/>
        <v>333875</v>
      </c>
      <c r="K11" s="78">
        <f t="shared" si="1"/>
        <v>26.842857142857142</v>
      </c>
      <c r="L11" s="79">
        <f>F11*100/F19</f>
        <v>5.9343113735388453</v>
      </c>
    </row>
    <row r="12" spans="1:12" s="67" customFormat="1" ht="18" customHeight="1" x14ac:dyDescent="0.2">
      <c r="A12" s="80" t="s">
        <v>21</v>
      </c>
      <c r="B12" s="75">
        <v>350000</v>
      </c>
      <c r="C12" s="75">
        <v>333875</v>
      </c>
      <c r="D12" s="76">
        <v>174031</v>
      </c>
      <c r="E12" s="75"/>
      <c r="F12" s="75">
        <v>174031</v>
      </c>
      <c r="G12" s="75">
        <v>560</v>
      </c>
      <c r="H12" s="75">
        <v>47120</v>
      </c>
      <c r="I12" s="75">
        <v>0</v>
      </c>
      <c r="J12" s="75">
        <f t="shared" si="0"/>
        <v>460226</v>
      </c>
      <c r="K12" s="78">
        <f t="shared" si="1"/>
        <v>49.723142857142854</v>
      </c>
      <c r="L12" s="79">
        <f>F12*100/F19</f>
        <v>10.992593322494294</v>
      </c>
    </row>
    <row r="13" spans="1:12" s="67" customFormat="1" ht="18" customHeight="1" x14ac:dyDescent="0.2">
      <c r="A13" s="80" t="s">
        <v>22</v>
      </c>
      <c r="B13" s="75">
        <v>350000</v>
      </c>
      <c r="C13" s="75">
        <v>460226</v>
      </c>
      <c r="D13" s="76">
        <v>113970</v>
      </c>
      <c r="E13" s="75">
        <v>0</v>
      </c>
      <c r="F13" s="75">
        <f>D13-E13</f>
        <v>113970</v>
      </c>
      <c r="G13" s="75">
        <v>1500</v>
      </c>
      <c r="H13" s="75">
        <v>75745</v>
      </c>
      <c r="I13" s="75">
        <v>0</v>
      </c>
      <c r="J13" s="75">
        <f t="shared" si="0"/>
        <v>496951</v>
      </c>
      <c r="K13" s="78">
        <f t="shared" si="1"/>
        <v>32.562857142857141</v>
      </c>
      <c r="L13" s="79">
        <f>F13*100/F19</f>
        <v>7.198866069635149</v>
      </c>
    </row>
    <row r="14" spans="1:12" s="67" customFormat="1" ht="18" customHeight="1" x14ac:dyDescent="0.2">
      <c r="A14" s="73" t="s">
        <v>23</v>
      </c>
      <c r="B14" s="74">
        <v>350000</v>
      </c>
      <c r="C14" s="75">
        <v>496951</v>
      </c>
      <c r="D14" s="76">
        <v>108560</v>
      </c>
      <c r="E14" s="75">
        <v>0</v>
      </c>
      <c r="F14" s="75">
        <f>D14-E14</f>
        <v>108560</v>
      </c>
      <c r="G14" s="75">
        <v>2780</v>
      </c>
      <c r="H14" s="75">
        <v>65600</v>
      </c>
      <c r="I14" s="77">
        <v>0</v>
      </c>
      <c r="J14" s="75">
        <f t="shared" si="0"/>
        <v>537131</v>
      </c>
      <c r="K14" s="78">
        <f t="shared" si="1"/>
        <v>31.017142857142858</v>
      </c>
      <c r="L14" s="79">
        <f>F14*100/F19</f>
        <v>6.8571457446660675</v>
      </c>
    </row>
    <row r="15" spans="1:12" s="67" customFormat="1" ht="18" customHeight="1" x14ac:dyDescent="0.2">
      <c r="A15" s="83" t="s">
        <v>24</v>
      </c>
      <c r="B15" s="74">
        <v>350000</v>
      </c>
      <c r="C15" s="75">
        <v>537131</v>
      </c>
      <c r="D15" s="76">
        <v>193030</v>
      </c>
      <c r="E15" s="75">
        <v>6125</v>
      </c>
      <c r="F15" s="75">
        <f t="shared" ref="F15:F18" si="2">D15-E15</f>
        <v>186905</v>
      </c>
      <c r="G15" s="75">
        <v>3080</v>
      </c>
      <c r="H15" s="75">
        <v>123885</v>
      </c>
      <c r="I15" s="75">
        <v>0</v>
      </c>
      <c r="J15" s="75">
        <f t="shared" si="0"/>
        <v>597071</v>
      </c>
      <c r="K15" s="78">
        <f t="shared" si="1"/>
        <v>53.401428571428575</v>
      </c>
      <c r="L15" s="79">
        <f>F15*100/F19</f>
        <v>11.805773999694283</v>
      </c>
    </row>
    <row r="16" spans="1:12" s="67" customFormat="1" ht="18" customHeight="1" x14ac:dyDescent="0.2">
      <c r="A16" s="74" t="s">
        <v>25</v>
      </c>
      <c r="B16" s="74">
        <v>300000</v>
      </c>
      <c r="C16" s="75">
        <v>597071</v>
      </c>
      <c r="D16" s="76">
        <v>147800</v>
      </c>
      <c r="E16" s="75">
        <v>27550</v>
      </c>
      <c r="F16" s="75">
        <f t="shared" si="2"/>
        <v>120250</v>
      </c>
      <c r="G16" s="75">
        <v>445</v>
      </c>
      <c r="H16" s="75">
        <v>86280</v>
      </c>
      <c r="I16" s="75">
        <v>0</v>
      </c>
      <c r="J16" s="75">
        <f t="shared" si="0"/>
        <v>630596</v>
      </c>
      <c r="K16" s="78">
        <f t="shared" si="1"/>
        <v>40.083333333333336</v>
      </c>
      <c r="L16" s="79">
        <f>F16*100/F19</f>
        <v>7.5955395707083149</v>
      </c>
    </row>
    <row r="17" spans="1:12" s="67" customFormat="1" ht="18" customHeight="1" x14ac:dyDescent="0.2">
      <c r="A17" s="74" t="s">
        <v>26</v>
      </c>
      <c r="B17" s="74">
        <v>300000</v>
      </c>
      <c r="C17" s="75">
        <v>630596</v>
      </c>
      <c r="D17" s="76">
        <v>109885</v>
      </c>
      <c r="E17" s="75">
        <v>0</v>
      </c>
      <c r="F17" s="75">
        <f t="shared" si="2"/>
        <v>109885</v>
      </c>
      <c r="G17" s="75">
        <v>3810</v>
      </c>
      <c r="H17" s="75">
        <v>79720</v>
      </c>
      <c r="I17" s="75">
        <v>0</v>
      </c>
      <c r="J17" s="75">
        <f t="shared" si="0"/>
        <v>656951</v>
      </c>
      <c r="K17" s="78">
        <f t="shared" si="1"/>
        <v>36.62833333333333</v>
      </c>
      <c r="L17" s="79"/>
    </row>
    <row r="18" spans="1:12" s="67" customFormat="1" ht="18" customHeight="1" x14ac:dyDescent="0.2">
      <c r="A18" s="74" t="s">
        <v>27</v>
      </c>
      <c r="B18" s="74">
        <v>300000</v>
      </c>
      <c r="C18" s="75">
        <v>656951</v>
      </c>
      <c r="D18" s="76">
        <v>154005</v>
      </c>
      <c r="E18" s="75">
        <v>620</v>
      </c>
      <c r="F18" s="75">
        <f t="shared" si="2"/>
        <v>153385</v>
      </c>
      <c r="G18" s="75">
        <v>4375</v>
      </c>
      <c r="H18" s="75">
        <v>96810</v>
      </c>
      <c r="I18" s="75">
        <v>24040</v>
      </c>
      <c r="J18" s="75">
        <f>C18+D18-E18-G18-H18-I18</f>
        <v>685111</v>
      </c>
      <c r="K18" s="78">
        <f t="shared" si="1"/>
        <v>51.12833333333333</v>
      </c>
      <c r="L18" s="79"/>
    </row>
    <row r="19" spans="1:12" s="67" customFormat="1" ht="18" customHeight="1" x14ac:dyDescent="0.2">
      <c r="A19" s="32" t="s">
        <v>14</v>
      </c>
      <c r="B19" s="32">
        <f t="shared" ref="B19:I19" si="3">SUM(B7:B18)</f>
        <v>3600000</v>
      </c>
      <c r="C19" s="32"/>
      <c r="D19" s="84">
        <f t="shared" si="3"/>
        <v>1670491</v>
      </c>
      <c r="E19" s="32">
        <f t="shared" si="3"/>
        <v>87325</v>
      </c>
      <c r="F19" s="32">
        <f t="shared" si="3"/>
        <v>1583166</v>
      </c>
      <c r="G19" s="32">
        <f t="shared" si="3"/>
        <v>66355</v>
      </c>
      <c r="H19" s="32">
        <f t="shared" si="3"/>
        <v>1074970</v>
      </c>
      <c r="I19" s="32">
        <f t="shared" si="3"/>
        <v>123880</v>
      </c>
      <c r="J19" s="32"/>
      <c r="K19" s="93">
        <f>(D19-E19)*100/B19</f>
        <v>43.976833333333332</v>
      </c>
      <c r="L19" s="85"/>
    </row>
    <row r="21" spans="1:12" s="94" customFormat="1" x14ac:dyDescent="0.2">
      <c r="A21" s="118" t="s">
        <v>48</v>
      </c>
      <c r="B21" s="29"/>
      <c r="C21" s="29"/>
      <c r="D21" s="106">
        <f>F19/12</f>
        <v>131930.5</v>
      </c>
      <c r="E21" s="29"/>
      <c r="F21" s="95"/>
      <c r="G21" s="95"/>
      <c r="H21" s="95"/>
      <c r="I21" s="95"/>
      <c r="J21" s="101"/>
      <c r="K21" s="95"/>
      <c r="L21" s="95"/>
    </row>
    <row r="22" spans="1:12" s="94" customFormat="1" x14ac:dyDescent="0.2">
      <c r="A22" s="118" t="s">
        <v>47</v>
      </c>
      <c r="B22" s="29"/>
      <c r="C22" s="29"/>
      <c r="D22" s="106">
        <f>B19/12</f>
        <v>300000</v>
      </c>
      <c r="E22" s="29"/>
      <c r="J22" s="101"/>
    </row>
    <row r="23" spans="1:12" x14ac:dyDescent="0.25">
      <c r="A23" s="118" t="s">
        <v>45</v>
      </c>
      <c r="B23" s="29"/>
      <c r="C23" s="29"/>
      <c r="D23" s="106">
        <f>H19/12</f>
        <v>89580.833333333328</v>
      </c>
      <c r="E23" s="29"/>
      <c r="J23" s="104"/>
    </row>
    <row r="24" spans="1:12" s="94" customFormat="1" x14ac:dyDescent="0.2">
      <c r="A24" s="118" t="s">
        <v>46</v>
      </c>
      <c r="B24" s="29"/>
      <c r="C24" s="29"/>
      <c r="D24" s="30">
        <v>0.43980000000000002</v>
      </c>
      <c r="E24" s="29"/>
      <c r="J24" s="101"/>
    </row>
    <row r="25" spans="1:12" s="94" customFormat="1" x14ac:dyDescent="0.2">
      <c r="A25" s="118" t="s">
        <v>49</v>
      </c>
      <c r="B25" s="29"/>
      <c r="C25" s="29"/>
      <c r="D25" s="30">
        <v>0.56020000000000003</v>
      </c>
      <c r="E25" s="29"/>
    </row>
    <row r="26" spans="1:12" x14ac:dyDescent="0.25">
      <c r="D26" s="113"/>
    </row>
    <row r="27" spans="1:12" x14ac:dyDescent="0.25">
      <c r="J27" s="117" t="s">
        <v>69</v>
      </c>
    </row>
    <row r="28" spans="1:12" x14ac:dyDescent="0.25">
      <c r="J28" s="117" t="s">
        <v>70</v>
      </c>
    </row>
  </sheetData>
  <mergeCells count="3">
    <mergeCell ref="A1:L1"/>
    <mergeCell ref="A2:L2"/>
    <mergeCell ref="A3:L3"/>
  </mergeCells>
  <pageMargins left="0.25" right="0" top="0.75" bottom="0.75" header="0.3" footer="0.3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"/>
  <sheetViews>
    <sheetView view="pageLayout" topLeftCell="A10" zoomScaleNormal="100" workbookViewId="0">
      <selection activeCell="J19" sqref="J19"/>
    </sheetView>
  </sheetViews>
  <sheetFormatPr defaultRowHeight="15" x14ac:dyDescent="0.25"/>
  <cols>
    <col min="1" max="1" width="10.85546875" bestFit="1" customWidth="1"/>
    <col min="2" max="2" width="12.42578125" bestFit="1" customWidth="1"/>
    <col min="3" max="3" width="13.85546875" bestFit="1" customWidth="1"/>
    <col min="4" max="4" width="12.42578125" bestFit="1" customWidth="1"/>
    <col min="5" max="5" width="10.42578125" customWidth="1"/>
    <col min="6" max="7" width="12.42578125" bestFit="1" customWidth="1"/>
    <col min="8" max="8" width="11" bestFit="1" customWidth="1"/>
    <col min="9" max="9" width="10.5703125" customWidth="1"/>
    <col min="10" max="10" width="12.42578125" bestFit="1" customWidth="1"/>
    <col min="11" max="11" width="15" bestFit="1" customWidth="1"/>
    <col min="12" max="12" width="11.28515625" customWidth="1"/>
  </cols>
  <sheetData>
    <row r="1" spans="1:12" ht="30" x14ac:dyDescent="0.25">
      <c r="A1" s="134" t="s">
        <v>15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</row>
    <row r="2" spans="1:12" ht="23.25" x14ac:dyDescent="0.25">
      <c r="A2" s="135" t="s">
        <v>39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</row>
    <row r="3" spans="1:12" ht="18.75" x14ac:dyDescent="0.25">
      <c r="A3" s="136" t="s">
        <v>35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</row>
    <row r="4" spans="1:12" s="67" customFormat="1" ht="12" x14ac:dyDescent="0.2">
      <c r="A4" s="103"/>
      <c r="B4" s="103"/>
      <c r="C4" s="103"/>
      <c r="D4" s="103"/>
      <c r="E4" s="103"/>
      <c r="F4" s="103"/>
      <c r="G4" s="103"/>
      <c r="H4" s="103"/>
      <c r="I4" s="103" t="s">
        <v>58</v>
      </c>
      <c r="J4" s="103"/>
      <c r="K4" s="103"/>
      <c r="L4" s="103"/>
    </row>
    <row r="5" spans="1:12" s="67" customFormat="1" ht="16.5" customHeight="1" x14ac:dyDescent="0.2">
      <c r="A5" s="34" t="s">
        <v>1</v>
      </c>
      <c r="B5" s="35" t="s">
        <v>2</v>
      </c>
      <c r="C5" s="36" t="s">
        <v>3</v>
      </c>
      <c r="D5" s="35" t="s">
        <v>4</v>
      </c>
      <c r="E5" s="35" t="s">
        <v>5</v>
      </c>
      <c r="F5" s="35" t="s">
        <v>6</v>
      </c>
      <c r="G5" s="36" t="s">
        <v>7</v>
      </c>
      <c r="H5" s="35" t="s">
        <v>8</v>
      </c>
      <c r="I5" s="35" t="s">
        <v>9</v>
      </c>
      <c r="J5" s="36" t="s">
        <v>10</v>
      </c>
      <c r="K5" s="37" t="s">
        <v>2</v>
      </c>
      <c r="L5" s="38" t="s">
        <v>11</v>
      </c>
    </row>
    <row r="6" spans="1:12" s="67" customFormat="1" ht="12" x14ac:dyDescent="0.2">
      <c r="A6" s="40"/>
      <c r="B6" s="41"/>
      <c r="C6" s="42"/>
      <c r="D6" s="41"/>
      <c r="E6" s="41"/>
      <c r="F6" s="41"/>
      <c r="G6" s="42"/>
      <c r="H6" s="41"/>
      <c r="I6" s="41"/>
      <c r="J6" s="42"/>
      <c r="K6" s="43" t="s">
        <v>12</v>
      </c>
      <c r="L6" s="44" t="s">
        <v>13</v>
      </c>
    </row>
    <row r="7" spans="1:12" s="67" customFormat="1" ht="16.5" customHeight="1" x14ac:dyDescent="0.2">
      <c r="A7" s="45" t="s">
        <v>16</v>
      </c>
      <c r="B7" s="56">
        <v>200000</v>
      </c>
      <c r="C7" s="46"/>
      <c r="D7" s="47"/>
      <c r="E7" s="46"/>
      <c r="F7" s="46">
        <f>D7-E7</f>
        <v>0</v>
      </c>
      <c r="G7" s="46"/>
      <c r="H7" s="46"/>
      <c r="I7" s="48"/>
      <c r="J7" s="46">
        <f>C7+D7-E7-G7-H7-I7</f>
        <v>0</v>
      </c>
      <c r="K7" s="49">
        <f>F7*100/B7</f>
        <v>0</v>
      </c>
      <c r="L7" s="98">
        <f>F7*100/F19</f>
        <v>0</v>
      </c>
    </row>
    <row r="8" spans="1:12" s="67" customFormat="1" ht="16.5" customHeight="1" x14ac:dyDescent="0.2">
      <c r="A8" s="45" t="s">
        <v>17</v>
      </c>
      <c r="B8" s="46">
        <v>200000</v>
      </c>
      <c r="C8" s="46">
        <v>727475</v>
      </c>
      <c r="D8" s="47">
        <v>65555</v>
      </c>
      <c r="E8" s="53"/>
      <c r="F8" s="46">
        <f t="shared" ref="F8:F18" si="0">D8-E8</f>
        <v>65555</v>
      </c>
      <c r="G8" s="46">
        <v>0</v>
      </c>
      <c r="H8" s="46">
        <v>64510</v>
      </c>
      <c r="I8" s="46">
        <v>42240</v>
      </c>
      <c r="J8" s="46">
        <f t="shared" ref="J8:J18" si="1">C8+D8-E8-G8-H8-I8</f>
        <v>686280</v>
      </c>
      <c r="K8" s="49">
        <f t="shared" ref="K8:K18" si="2">F8*100/B8</f>
        <v>32.777500000000003</v>
      </c>
      <c r="L8" s="98">
        <f>F8*100/F19</f>
        <v>5.1617094151689926</v>
      </c>
    </row>
    <row r="9" spans="1:12" s="67" customFormat="1" ht="16.5" customHeight="1" x14ac:dyDescent="0.2">
      <c r="A9" s="45" t="s">
        <v>18</v>
      </c>
      <c r="B9" s="46">
        <v>200000</v>
      </c>
      <c r="C9" s="46">
        <v>686280</v>
      </c>
      <c r="D9" s="47">
        <v>184850</v>
      </c>
      <c r="E9" s="53"/>
      <c r="F9" s="46">
        <f t="shared" si="0"/>
        <v>184850</v>
      </c>
      <c r="G9" s="46">
        <v>1500</v>
      </c>
      <c r="H9" s="46">
        <v>145150</v>
      </c>
      <c r="I9" s="46"/>
      <c r="J9" s="46">
        <f t="shared" si="1"/>
        <v>724480</v>
      </c>
      <c r="K9" s="49">
        <f t="shared" si="2"/>
        <v>92.424999999999997</v>
      </c>
      <c r="L9" s="98">
        <f>F9*100/F19</f>
        <v>14.554831597803194</v>
      </c>
    </row>
    <row r="10" spans="1:12" s="67" customFormat="1" ht="16.5" customHeight="1" x14ac:dyDescent="0.2">
      <c r="A10" s="45" t="s">
        <v>19</v>
      </c>
      <c r="B10" s="46">
        <v>350000</v>
      </c>
      <c r="C10" s="46">
        <v>724480</v>
      </c>
      <c r="D10" s="47">
        <v>227474</v>
      </c>
      <c r="E10" s="46"/>
      <c r="F10" s="46">
        <f t="shared" si="0"/>
        <v>227474</v>
      </c>
      <c r="G10" s="46">
        <v>1182</v>
      </c>
      <c r="H10" s="46">
        <v>103668</v>
      </c>
      <c r="I10" s="46"/>
      <c r="J10" s="46">
        <f t="shared" si="1"/>
        <v>847104</v>
      </c>
      <c r="K10" s="49">
        <f t="shared" si="2"/>
        <v>64.992571428571424</v>
      </c>
      <c r="L10" s="98">
        <f>F10*100/F19</f>
        <v>17.910986004212514</v>
      </c>
    </row>
    <row r="11" spans="1:12" s="67" customFormat="1" ht="16.5" customHeight="1" x14ac:dyDescent="0.2">
      <c r="A11" s="45" t="s">
        <v>28</v>
      </c>
      <c r="B11" s="56">
        <v>350000</v>
      </c>
      <c r="C11" s="46">
        <v>847104</v>
      </c>
      <c r="D11" s="47">
        <v>228985</v>
      </c>
      <c r="E11" s="46">
        <v>7050</v>
      </c>
      <c r="F11" s="46">
        <f t="shared" si="0"/>
        <v>221935</v>
      </c>
      <c r="G11" s="46">
        <v>77350</v>
      </c>
      <c r="H11" s="46">
        <v>143000</v>
      </c>
      <c r="I11" s="46"/>
      <c r="J11" s="46">
        <f t="shared" si="1"/>
        <v>848689</v>
      </c>
      <c r="K11" s="49">
        <f t="shared" si="2"/>
        <v>63.41</v>
      </c>
      <c r="L11" s="98">
        <f>F11*100/F19</f>
        <v>17.474852857227219</v>
      </c>
    </row>
    <row r="12" spans="1:12" s="67" customFormat="1" ht="16.5" customHeight="1" x14ac:dyDescent="0.2">
      <c r="A12" s="45" t="s">
        <v>21</v>
      </c>
      <c r="B12" s="46">
        <v>350000</v>
      </c>
      <c r="C12" s="46">
        <v>848689</v>
      </c>
      <c r="D12" s="47">
        <v>78955</v>
      </c>
      <c r="E12" s="46">
        <v>0</v>
      </c>
      <c r="F12" s="46">
        <f t="shared" si="0"/>
        <v>78955</v>
      </c>
      <c r="G12" s="46">
        <v>8240</v>
      </c>
      <c r="H12" s="46">
        <v>87500</v>
      </c>
      <c r="I12" s="46"/>
      <c r="J12" s="46">
        <f t="shared" si="1"/>
        <v>831904</v>
      </c>
      <c r="K12" s="49">
        <f t="shared" si="2"/>
        <v>22.55857142857143</v>
      </c>
      <c r="L12" s="98">
        <f>F12*100/F19</f>
        <v>6.2168067557725237</v>
      </c>
    </row>
    <row r="13" spans="1:12" s="67" customFormat="1" ht="16.5" customHeight="1" x14ac:dyDescent="0.2">
      <c r="A13" s="45" t="s">
        <v>22</v>
      </c>
      <c r="B13" s="46">
        <v>350000</v>
      </c>
      <c r="C13" s="46">
        <v>831904</v>
      </c>
      <c r="D13" s="47">
        <v>146933</v>
      </c>
      <c r="E13" s="46">
        <v>0</v>
      </c>
      <c r="F13" s="46">
        <f t="shared" si="0"/>
        <v>146933</v>
      </c>
      <c r="G13" s="46">
        <v>1250</v>
      </c>
      <c r="H13" s="46">
        <v>138750</v>
      </c>
      <c r="I13" s="46"/>
      <c r="J13" s="46">
        <f t="shared" si="1"/>
        <v>838837</v>
      </c>
      <c r="K13" s="49">
        <f t="shared" si="2"/>
        <v>41.98085714285714</v>
      </c>
      <c r="L13" s="98">
        <f>F13*100/F19</f>
        <v>11.569299816932737</v>
      </c>
    </row>
    <row r="14" spans="1:12" s="67" customFormat="1" ht="16.5" customHeight="1" x14ac:dyDescent="0.2">
      <c r="A14" s="45" t="s">
        <v>23</v>
      </c>
      <c r="B14" s="56">
        <v>350000</v>
      </c>
      <c r="C14" s="46">
        <v>838837</v>
      </c>
      <c r="D14" s="47">
        <v>108915</v>
      </c>
      <c r="E14" s="46">
        <v>6332</v>
      </c>
      <c r="F14" s="46">
        <f t="shared" si="0"/>
        <v>102583</v>
      </c>
      <c r="G14" s="46">
        <v>0</v>
      </c>
      <c r="H14" s="46">
        <v>84800</v>
      </c>
      <c r="I14" s="48"/>
      <c r="J14" s="46">
        <f t="shared" si="1"/>
        <v>856620</v>
      </c>
      <c r="K14" s="49">
        <f t="shared" si="2"/>
        <v>29.309428571428572</v>
      </c>
      <c r="L14" s="98">
        <f>F14*100/F19</f>
        <v>8.0772425739650799</v>
      </c>
    </row>
    <row r="15" spans="1:12" s="67" customFormat="1" ht="16.5" customHeight="1" x14ac:dyDescent="0.2">
      <c r="A15" s="45" t="s">
        <v>24</v>
      </c>
      <c r="B15" s="56">
        <v>350000</v>
      </c>
      <c r="C15" s="46">
        <v>856620</v>
      </c>
      <c r="D15" s="47">
        <v>129345</v>
      </c>
      <c r="E15" s="46">
        <v>0</v>
      </c>
      <c r="F15" s="46">
        <f t="shared" si="0"/>
        <v>129345</v>
      </c>
      <c r="G15" s="46">
        <v>0</v>
      </c>
      <c r="H15" s="46">
        <v>62000</v>
      </c>
      <c r="I15" s="46"/>
      <c r="J15" s="46">
        <f t="shared" si="1"/>
        <v>923965</v>
      </c>
      <c r="K15" s="49">
        <f t="shared" si="2"/>
        <v>36.955714285714286</v>
      </c>
      <c r="L15" s="98">
        <f>F15*100/F19</f>
        <v>10.184445188086849</v>
      </c>
    </row>
    <row r="16" spans="1:12" s="67" customFormat="1" ht="16.5" customHeight="1" x14ac:dyDescent="0.2">
      <c r="A16" s="45" t="s">
        <v>25</v>
      </c>
      <c r="B16" s="56">
        <v>300000</v>
      </c>
      <c r="C16" s="46">
        <v>923965</v>
      </c>
      <c r="D16" s="47">
        <v>96945</v>
      </c>
      <c r="E16" s="46">
        <v>0</v>
      </c>
      <c r="F16" s="46">
        <f t="shared" si="0"/>
        <v>96945</v>
      </c>
      <c r="G16" s="46">
        <v>0</v>
      </c>
      <c r="H16" s="46">
        <v>112000</v>
      </c>
      <c r="I16" s="46"/>
      <c r="J16" s="46">
        <f t="shared" si="1"/>
        <v>908910</v>
      </c>
      <c r="K16" s="49">
        <f t="shared" si="2"/>
        <v>32.314999999999998</v>
      </c>
      <c r="L16" s="98">
        <f>F16*100/F19</f>
        <v>7.6333143048365191</v>
      </c>
    </row>
    <row r="17" spans="1:25" s="67" customFormat="1" ht="16.5" customHeight="1" x14ac:dyDescent="0.2">
      <c r="A17" s="45" t="s">
        <v>26</v>
      </c>
      <c r="B17" s="56">
        <v>300000</v>
      </c>
      <c r="C17" s="46">
        <v>908910</v>
      </c>
      <c r="D17" s="47">
        <v>12550</v>
      </c>
      <c r="E17" s="46">
        <v>0</v>
      </c>
      <c r="F17" s="46">
        <f t="shared" si="0"/>
        <v>12550</v>
      </c>
      <c r="G17" s="46">
        <v>0</v>
      </c>
      <c r="H17" s="46">
        <v>15000</v>
      </c>
      <c r="I17" s="46"/>
      <c r="J17" s="46">
        <f t="shared" si="1"/>
        <v>906460</v>
      </c>
      <c r="K17" s="49">
        <f t="shared" si="2"/>
        <v>4.1833333333333336</v>
      </c>
      <c r="L17" s="98">
        <f>F17*100/F19</f>
        <v>0.98816952422196414</v>
      </c>
    </row>
    <row r="18" spans="1:25" s="67" customFormat="1" ht="16.5" customHeight="1" x14ac:dyDescent="0.2">
      <c r="A18" s="45" t="s">
        <v>27</v>
      </c>
      <c r="B18" s="56">
        <v>300000</v>
      </c>
      <c r="C18" s="46">
        <v>906460</v>
      </c>
      <c r="D18" s="47">
        <v>2900</v>
      </c>
      <c r="E18" s="46">
        <v>0</v>
      </c>
      <c r="F18" s="46">
        <f t="shared" si="0"/>
        <v>2900</v>
      </c>
      <c r="G18" s="46">
        <v>0</v>
      </c>
      <c r="H18" s="46">
        <v>12000</v>
      </c>
      <c r="I18" s="46"/>
      <c r="J18" s="46">
        <f t="shared" si="1"/>
        <v>897360</v>
      </c>
      <c r="K18" s="49">
        <f t="shared" si="2"/>
        <v>0.96666666666666667</v>
      </c>
      <c r="L18" s="98">
        <f>F18*100/F19</f>
        <v>0.22834196177240607</v>
      </c>
    </row>
    <row r="19" spans="1:25" s="67" customFormat="1" ht="16.5" customHeight="1" x14ac:dyDescent="0.2">
      <c r="A19" s="33" t="s">
        <v>14</v>
      </c>
      <c r="B19" s="33">
        <f t="shared" ref="B19:H19" si="3">SUM(B7:B18)</f>
        <v>3600000</v>
      </c>
      <c r="C19" s="33"/>
      <c r="D19" s="57">
        <f t="shared" si="3"/>
        <v>1283407</v>
      </c>
      <c r="E19" s="33">
        <f t="shared" si="3"/>
        <v>13382</v>
      </c>
      <c r="F19" s="33">
        <f t="shared" si="3"/>
        <v>1270025</v>
      </c>
      <c r="G19" s="33">
        <f t="shared" si="3"/>
        <v>89522</v>
      </c>
      <c r="H19" s="33">
        <f t="shared" si="3"/>
        <v>968378</v>
      </c>
      <c r="I19" s="33">
        <f>SUM(I7:I17)</f>
        <v>42240</v>
      </c>
      <c r="J19" s="33"/>
      <c r="K19" s="59">
        <f>F19*100/B19</f>
        <v>35.27847222222222</v>
      </c>
      <c r="L19" s="99"/>
    </row>
    <row r="20" spans="1:25" s="67" customFormat="1" ht="12" x14ac:dyDescent="0.2"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spans="1:25" s="94" customFormat="1" x14ac:dyDescent="0.2">
      <c r="A21" s="118" t="s">
        <v>48</v>
      </c>
      <c r="B21" s="29"/>
      <c r="C21" s="29"/>
      <c r="D21" s="114">
        <f>F19/11</f>
        <v>115456.81818181818</v>
      </c>
      <c r="E21" s="29"/>
      <c r="F21" s="95"/>
      <c r="G21" s="95"/>
      <c r="H21" s="95"/>
      <c r="I21" s="95"/>
      <c r="J21" s="101"/>
      <c r="K21" s="95"/>
      <c r="L21" s="95"/>
    </row>
    <row r="22" spans="1:25" s="94" customFormat="1" x14ac:dyDescent="0.2">
      <c r="A22" s="118" t="s">
        <v>47</v>
      </c>
      <c r="B22" s="29"/>
      <c r="C22" s="29"/>
      <c r="D22" s="114">
        <f>B19/12</f>
        <v>300000</v>
      </c>
      <c r="E22" s="29"/>
      <c r="J22" s="101"/>
    </row>
    <row r="23" spans="1:25" x14ac:dyDescent="0.25">
      <c r="A23" s="118" t="s">
        <v>45</v>
      </c>
      <c r="B23" s="29"/>
      <c r="C23" s="29"/>
      <c r="D23" s="114">
        <f>H19/11</f>
        <v>88034.363636363632</v>
      </c>
      <c r="E23" s="29"/>
      <c r="J23" s="104"/>
    </row>
    <row r="24" spans="1:25" s="94" customFormat="1" x14ac:dyDescent="0.2">
      <c r="A24" s="118" t="s">
        <v>46</v>
      </c>
      <c r="B24" s="29"/>
      <c r="C24" s="29"/>
      <c r="D24" s="115">
        <v>0.3528</v>
      </c>
      <c r="E24" s="29"/>
      <c r="J24" s="101"/>
    </row>
    <row r="25" spans="1:25" s="94" customFormat="1" x14ac:dyDescent="0.2">
      <c r="A25" s="118" t="s">
        <v>49</v>
      </c>
      <c r="B25" s="29"/>
      <c r="C25" s="29"/>
      <c r="D25" s="30">
        <v>0.6472</v>
      </c>
      <c r="E25" s="29"/>
    </row>
    <row r="29" spans="1:25" x14ac:dyDescent="0.25">
      <c r="J29" s="117" t="s">
        <v>69</v>
      </c>
    </row>
    <row r="30" spans="1:25" x14ac:dyDescent="0.25">
      <c r="J30" s="117" t="s">
        <v>70</v>
      </c>
    </row>
  </sheetData>
  <mergeCells count="4">
    <mergeCell ref="A1:L1"/>
    <mergeCell ref="A2:L2"/>
    <mergeCell ref="A3:L3"/>
    <mergeCell ref="N20:Y20"/>
  </mergeCells>
  <phoneticPr fontId="21" type="noConversion"/>
  <pageMargins left="0.25" right="0" top="0.75" bottom="0.75" header="0.3" footer="0.3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F6FFD-4BF0-4E36-831D-A6C2C117C10D}">
  <dimension ref="A1:L28"/>
  <sheetViews>
    <sheetView view="pageLayout" topLeftCell="A10" zoomScaleNormal="100" workbookViewId="0">
      <selection activeCell="D22" sqref="D22"/>
    </sheetView>
  </sheetViews>
  <sheetFormatPr defaultRowHeight="15" x14ac:dyDescent="0.25"/>
  <cols>
    <col min="1" max="1" width="11.42578125" customWidth="1"/>
    <col min="2" max="2" width="12.42578125" bestFit="1" customWidth="1"/>
    <col min="3" max="3" width="13.85546875" bestFit="1" customWidth="1"/>
    <col min="4" max="4" width="12.42578125" bestFit="1" customWidth="1"/>
    <col min="5" max="5" width="9.85546875" customWidth="1"/>
    <col min="6" max="7" width="12.42578125" bestFit="1" customWidth="1"/>
    <col min="8" max="8" width="11" bestFit="1" customWidth="1"/>
    <col min="9" max="9" width="9.140625" customWidth="1"/>
    <col min="10" max="10" width="10.85546875" customWidth="1"/>
    <col min="11" max="11" width="13.140625" customWidth="1"/>
    <col min="12" max="12" width="9.85546875" bestFit="1" customWidth="1"/>
  </cols>
  <sheetData>
    <row r="1" spans="1:12" ht="30" x14ac:dyDescent="0.4">
      <c r="A1" s="127" t="s">
        <v>15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</row>
    <row r="2" spans="1:12" ht="23.25" x14ac:dyDescent="0.35">
      <c r="A2" s="133" t="s">
        <v>62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</row>
    <row r="3" spans="1:12" ht="18.75" x14ac:dyDescent="0.25">
      <c r="A3" s="129" t="s">
        <v>61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 t="s">
        <v>60</v>
      </c>
      <c r="J4" s="1"/>
      <c r="K4" s="1"/>
      <c r="L4" s="1"/>
    </row>
    <row r="5" spans="1:12" ht="16.5" customHeight="1" x14ac:dyDescent="0.25">
      <c r="A5" s="62" t="s">
        <v>63</v>
      </c>
      <c r="B5" s="63" t="s">
        <v>2</v>
      </c>
      <c r="C5" s="64" t="s">
        <v>65</v>
      </c>
      <c r="D5" s="63" t="s">
        <v>4</v>
      </c>
      <c r="E5" s="63" t="s">
        <v>67</v>
      </c>
      <c r="F5" s="63" t="s">
        <v>6</v>
      </c>
      <c r="G5" s="64" t="s">
        <v>7</v>
      </c>
      <c r="H5" s="63" t="s">
        <v>8</v>
      </c>
      <c r="I5" s="63" t="s">
        <v>9</v>
      </c>
      <c r="J5" s="64" t="s">
        <v>10</v>
      </c>
      <c r="K5" s="65" t="s">
        <v>2</v>
      </c>
      <c r="L5" s="66" t="s">
        <v>11</v>
      </c>
    </row>
    <row r="6" spans="1:12" ht="16.5" customHeight="1" x14ac:dyDescent="0.25">
      <c r="A6" s="68" t="s">
        <v>64</v>
      </c>
      <c r="B6" s="69"/>
      <c r="C6" s="70" t="s">
        <v>66</v>
      </c>
      <c r="D6" s="69"/>
      <c r="E6" s="69" t="s">
        <v>68</v>
      </c>
      <c r="F6" s="69"/>
      <c r="G6" s="70"/>
      <c r="H6" s="69"/>
      <c r="I6" s="69"/>
      <c r="J6" s="70"/>
      <c r="K6" s="10" t="s">
        <v>12</v>
      </c>
      <c r="L6" s="72" t="s">
        <v>13</v>
      </c>
    </row>
    <row r="7" spans="1:12" ht="16.5" customHeight="1" x14ac:dyDescent="0.25">
      <c r="A7" s="73" t="s">
        <v>16</v>
      </c>
      <c r="B7" s="74">
        <v>250000</v>
      </c>
      <c r="C7" s="75"/>
      <c r="D7" s="76"/>
      <c r="E7" s="75"/>
      <c r="F7" s="75"/>
      <c r="G7" s="75"/>
      <c r="H7" s="75"/>
      <c r="I7" s="77"/>
      <c r="J7" s="75"/>
      <c r="K7" s="78"/>
      <c r="L7" s="79"/>
    </row>
    <row r="8" spans="1:12" ht="16.5" customHeight="1" x14ac:dyDescent="0.25">
      <c r="A8" s="80" t="s">
        <v>17</v>
      </c>
      <c r="B8" s="74">
        <v>250000</v>
      </c>
      <c r="C8" s="75"/>
      <c r="D8" s="76"/>
      <c r="E8" s="81"/>
      <c r="F8" s="75"/>
      <c r="G8" s="75"/>
      <c r="H8" s="75"/>
      <c r="I8" s="75"/>
      <c r="J8" s="75"/>
      <c r="K8" s="78"/>
      <c r="L8" s="79"/>
    </row>
    <row r="9" spans="1:12" ht="16.5" customHeight="1" x14ac:dyDescent="0.25">
      <c r="A9" s="80" t="s">
        <v>18</v>
      </c>
      <c r="B9" s="74">
        <v>250000</v>
      </c>
      <c r="C9" s="75"/>
      <c r="D9" s="76"/>
      <c r="E9" s="81"/>
      <c r="F9" s="75"/>
      <c r="G9" s="75"/>
      <c r="H9" s="75"/>
      <c r="I9" s="75"/>
      <c r="J9" s="75"/>
      <c r="K9" s="78"/>
      <c r="L9" s="79"/>
    </row>
    <row r="10" spans="1:12" ht="16.5" customHeight="1" x14ac:dyDescent="0.25">
      <c r="A10" s="80" t="s">
        <v>19</v>
      </c>
      <c r="B10" s="74">
        <v>300000</v>
      </c>
      <c r="C10" s="75"/>
      <c r="D10" s="76"/>
      <c r="E10" s="75"/>
      <c r="F10" s="75"/>
      <c r="G10" s="75"/>
      <c r="H10" s="75"/>
      <c r="I10" s="75"/>
      <c r="J10" s="75"/>
      <c r="K10" s="78"/>
      <c r="L10" s="79"/>
    </row>
    <row r="11" spans="1:12" ht="16.5" customHeight="1" x14ac:dyDescent="0.25">
      <c r="A11" s="73" t="s">
        <v>28</v>
      </c>
      <c r="B11" s="74">
        <v>300000</v>
      </c>
      <c r="C11" s="75"/>
      <c r="D11" s="76"/>
      <c r="E11" s="75"/>
      <c r="F11" s="75"/>
      <c r="G11" s="75"/>
      <c r="H11" s="75"/>
      <c r="I11" s="75"/>
      <c r="J11" s="75"/>
      <c r="K11" s="78"/>
      <c r="L11" s="79"/>
    </row>
    <row r="12" spans="1:12" ht="16.5" customHeight="1" x14ac:dyDescent="0.25">
      <c r="A12" s="80" t="s">
        <v>21</v>
      </c>
      <c r="B12" s="74">
        <v>300000</v>
      </c>
      <c r="C12" s="75"/>
      <c r="D12" s="76"/>
      <c r="E12" s="75"/>
      <c r="F12" s="75"/>
      <c r="G12" s="75"/>
      <c r="H12" s="75"/>
      <c r="I12" s="75"/>
      <c r="J12" s="75"/>
      <c r="K12" s="78"/>
      <c r="L12" s="79"/>
    </row>
    <row r="13" spans="1:12" ht="16.5" customHeight="1" x14ac:dyDescent="0.25">
      <c r="A13" s="80" t="s">
        <v>22</v>
      </c>
      <c r="B13" s="74">
        <v>250000</v>
      </c>
      <c r="C13" s="75"/>
      <c r="D13" s="76"/>
      <c r="E13" s="75"/>
      <c r="F13" s="75"/>
      <c r="G13" s="75"/>
      <c r="H13" s="75"/>
      <c r="I13" s="75"/>
      <c r="J13" s="75"/>
      <c r="K13" s="78"/>
      <c r="L13" s="79"/>
    </row>
    <row r="14" spans="1:12" ht="16.5" customHeight="1" x14ac:dyDescent="0.25">
      <c r="A14" s="73" t="s">
        <v>23</v>
      </c>
      <c r="B14" s="74">
        <v>250000</v>
      </c>
      <c r="C14" s="75"/>
      <c r="D14" s="76"/>
      <c r="E14" s="75"/>
      <c r="F14" s="75"/>
      <c r="G14" s="75"/>
      <c r="H14" s="75"/>
      <c r="I14" s="77"/>
      <c r="J14" s="75"/>
      <c r="K14" s="78"/>
      <c r="L14" s="79"/>
    </row>
    <row r="15" spans="1:12" ht="16.5" customHeight="1" x14ac:dyDescent="0.25">
      <c r="A15" s="83" t="s">
        <v>24</v>
      </c>
      <c r="B15" s="74">
        <v>250000</v>
      </c>
      <c r="C15" s="75"/>
      <c r="D15" s="76"/>
      <c r="E15" s="75"/>
      <c r="F15" s="75"/>
      <c r="G15" s="75"/>
      <c r="H15" s="75"/>
      <c r="I15" s="75"/>
      <c r="J15" s="75"/>
      <c r="K15" s="78"/>
      <c r="L15" s="79"/>
    </row>
    <row r="16" spans="1:12" ht="16.5" customHeight="1" x14ac:dyDescent="0.25">
      <c r="A16" s="74" t="s">
        <v>25</v>
      </c>
      <c r="B16" s="74">
        <v>200000</v>
      </c>
      <c r="C16" s="75">
        <v>0</v>
      </c>
      <c r="D16" s="76">
        <v>120265</v>
      </c>
      <c r="E16" s="75"/>
      <c r="F16" s="75">
        <f t="shared" ref="F16:F18" si="0">D16-E16</f>
        <v>120265</v>
      </c>
      <c r="G16" s="75">
        <v>2930</v>
      </c>
      <c r="H16" s="75">
        <v>101710</v>
      </c>
      <c r="I16" s="75"/>
      <c r="J16" s="75">
        <f t="shared" ref="J16:J18" si="1">C16+D16-E16-G16-H16-I16</f>
        <v>15625</v>
      </c>
      <c r="K16" s="78">
        <f t="shared" ref="K16:K18" si="2">F16*100/B16</f>
        <v>60.1325</v>
      </c>
      <c r="L16" s="79">
        <f>F16*100/F19</f>
        <v>58.567289196230732</v>
      </c>
    </row>
    <row r="17" spans="1:12" ht="16.5" customHeight="1" x14ac:dyDescent="0.25">
      <c r="A17" s="74" t="s">
        <v>26</v>
      </c>
      <c r="B17" s="74">
        <v>200000</v>
      </c>
      <c r="C17" s="75">
        <v>15625</v>
      </c>
      <c r="D17" s="76">
        <v>71950</v>
      </c>
      <c r="E17" s="75"/>
      <c r="F17" s="75">
        <f t="shared" si="0"/>
        <v>71950</v>
      </c>
      <c r="G17" s="75">
        <v>0</v>
      </c>
      <c r="H17" s="75">
        <v>15500</v>
      </c>
      <c r="I17" s="75"/>
      <c r="J17" s="75">
        <f t="shared" si="1"/>
        <v>72075</v>
      </c>
      <c r="K17" s="78">
        <f t="shared" si="2"/>
        <v>35.975000000000001</v>
      </c>
      <c r="L17" s="79">
        <f>F17*100/F19</f>
        <v>35.038593586403373</v>
      </c>
    </row>
    <row r="18" spans="1:12" ht="16.5" customHeight="1" x14ac:dyDescent="0.25">
      <c r="A18" s="74" t="s">
        <v>27</v>
      </c>
      <c r="B18" s="74">
        <v>200000</v>
      </c>
      <c r="C18" s="75">
        <v>72075</v>
      </c>
      <c r="D18" s="76">
        <v>13130</v>
      </c>
      <c r="E18" s="75">
        <v>0</v>
      </c>
      <c r="F18" s="75">
        <f t="shared" si="0"/>
        <v>13130</v>
      </c>
      <c r="G18" s="75">
        <v>0</v>
      </c>
      <c r="H18" s="75">
        <v>30950</v>
      </c>
      <c r="I18" s="75">
        <v>0</v>
      </c>
      <c r="J18" s="75">
        <f t="shared" si="1"/>
        <v>54255</v>
      </c>
      <c r="K18" s="78">
        <f t="shared" si="2"/>
        <v>6.5650000000000004</v>
      </c>
      <c r="L18" s="79">
        <f>F18*100/F19</f>
        <v>6.3941172173658964</v>
      </c>
    </row>
    <row r="19" spans="1:12" ht="16.5" customHeight="1" x14ac:dyDescent="0.25">
      <c r="A19" s="32" t="s">
        <v>14</v>
      </c>
      <c r="B19" s="32">
        <f t="shared" ref="B19" si="3">SUM(B7:B18)</f>
        <v>3000000</v>
      </c>
      <c r="C19" s="32"/>
      <c r="D19" s="84">
        <f>SUM(D7:D18)</f>
        <v>205345</v>
      </c>
      <c r="E19" s="32"/>
      <c r="F19" s="32">
        <f>SUM(F7:F18)</f>
        <v>205345</v>
      </c>
      <c r="G19" s="32">
        <f>SUM(G7:G18)</f>
        <v>2930</v>
      </c>
      <c r="H19" s="32">
        <f>SUM(H7:H18)</f>
        <v>148160</v>
      </c>
      <c r="I19" s="32">
        <f>SUM(I7:I18)</f>
        <v>0</v>
      </c>
      <c r="J19" s="32"/>
      <c r="K19" s="93">
        <f>F19*100/B19</f>
        <v>6.8448333333333338</v>
      </c>
      <c r="L19" s="85"/>
    </row>
    <row r="20" spans="1:12" ht="16.5" customHeight="1" x14ac:dyDescent="0.25"/>
    <row r="21" spans="1:12" s="94" customFormat="1" ht="16.5" customHeight="1" x14ac:dyDescent="0.2">
      <c r="A21" s="118" t="s">
        <v>48</v>
      </c>
      <c r="B21" s="29"/>
      <c r="C21" s="29"/>
      <c r="D21" s="106">
        <f>F19/3</f>
        <v>68448.333333333328</v>
      </c>
      <c r="E21" s="29"/>
      <c r="F21" s="95"/>
      <c r="G21" s="95"/>
      <c r="H21" s="95"/>
      <c r="I21" s="95"/>
      <c r="J21" s="101"/>
      <c r="K21" s="95"/>
      <c r="L21" s="95"/>
    </row>
    <row r="22" spans="1:12" s="94" customFormat="1" ht="16.5" customHeight="1" x14ac:dyDescent="0.2">
      <c r="A22" s="118" t="s">
        <v>47</v>
      </c>
      <c r="B22" s="29"/>
      <c r="C22" s="29"/>
      <c r="D22" s="106">
        <f>B19/12</f>
        <v>250000</v>
      </c>
      <c r="E22" s="29"/>
      <c r="J22" s="101"/>
    </row>
    <row r="23" spans="1:12" ht="16.5" customHeight="1" x14ac:dyDescent="0.25">
      <c r="A23" s="118" t="s">
        <v>45</v>
      </c>
      <c r="B23" s="29"/>
      <c r="C23" s="29"/>
      <c r="D23" s="106">
        <f>H19/3</f>
        <v>49386.666666666664</v>
      </c>
      <c r="E23" s="29"/>
      <c r="J23" s="104"/>
    </row>
    <row r="24" spans="1:12" s="94" customFormat="1" ht="16.5" customHeight="1" x14ac:dyDescent="0.2">
      <c r="A24" s="118" t="s">
        <v>46</v>
      </c>
      <c r="B24" s="29"/>
      <c r="C24" s="29"/>
      <c r="D24" s="107">
        <v>6.8400000000000002E-2</v>
      </c>
      <c r="E24" s="29"/>
      <c r="J24" s="101"/>
    </row>
    <row r="25" spans="1:12" s="94" customFormat="1" ht="16.5" customHeight="1" x14ac:dyDescent="0.2">
      <c r="A25" s="118" t="s">
        <v>49</v>
      </c>
      <c r="B25" s="29"/>
      <c r="C25" s="29"/>
      <c r="D25" s="107">
        <v>0.93159999999999998</v>
      </c>
      <c r="E25" s="29"/>
    </row>
    <row r="26" spans="1:12" ht="16.5" customHeight="1" x14ac:dyDescent="0.25">
      <c r="A26" s="29"/>
      <c r="J26" s="104"/>
    </row>
    <row r="27" spans="1:12" ht="16.5" customHeight="1" x14ac:dyDescent="0.25">
      <c r="J27" s="117" t="s">
        <v>69</v>
      </c>
    </row>
    <row r="28" spans="1:12" ht="16.5" customHeight="1" x14ac:dyDescent="0.25">
      <c r="J28" s="117" t="s">
        <v>70</v>
      </c>
    </row>
  </sheetData>
  <mergeCells count="3">
    <mergeCell ref="A1:L1"/>
    <mergeCell ref="A2:L2"/>
    <mergeCell ref="A3:L3"/>
  </mergeCells>
  <pageMargins left="0.51" right="0.13" top="0.75" bottom="0.75" header="0.3" footer="0.3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7"/>
  <sheetViews>
    <sheetView view="pageLayout" topLeftCell="A10" zoomScaleNormal="100" workbookViewId="0">
      <selection activeCell="K19" sqref="K19"/>
    </sheetView>
  </sheetViews>
  <sheetFormatPr defaultRowHeight="15" x14ac:dyDescent="0.25"/>
  <cols>
    <col min="1" max="1" width="9.7109375" customWidth="1"/>
    <col min="2" max="2" width="12.42578125" bestFit="1" customWidth="1"/>
    <col min="3" max="3" width="13.85546875" bestFit="1" customWidth="1"/>
    <col min="4" max="4" width="12.42578125" bestFit="1" customWidth="1"/>
    <col min="5" max="5" width="11" bestFit="1" customWidth="1"/>
    <col min="6" max="8" width="12.42578125" bestFit="1" customWidth="1"/>
    <col min="9" max="9" width="11.42578125" customWidth="1"/>
    <col min="10" max="10" width="12.42578125" bestFit="1" customWidth="1"/>
    <col min="11" max="11" width="15" bestFit="1" customWidth="1"/>
    <col min="12" max="12" width="9.85546875" bestFit="1" customWidth="1"/>
  </cols>
  <sheetData>
    <row r="1" spans="1:12" ht="25.5" x14ac:dyDescent="0.35">
      <c r="A1" s="138" t="s">
        <v>15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</row>
    <row r="2" spans="1:12" ht="23.25" x14ac:dyDescent="0.35">
      <c r="A2" s="133" t="s">
        <v>40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</row>
    <row r="3" spans="1:12" ht="18.75" x14ac:dyDescent="0.25">
      <c r="A3" s="129" t="s">
        <v>36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</row>
    <row r="4" spans="1:12" x14ac:dyDescent="0.25">
      <c r="A4" s="1"/>
      <c r="B4" s="1"/>
      <c r="C4" s="1"/>
      <c r="E4" s="26"/>
      <c r="F4" s="26"/>
      <c r="G4" s="26"/>
      <c r="H4" s="26"/>
      <c r="I4" s="25" t="s">
        <v>55</v>
      </c>
      <c r="J4" s="1"/>
      <c r="K4" s="1"/>
      <c r="L4" s="1"/>
    </row>
    <row r="5" spans="1:12" s="97" customFormat="1" ht="20.25" customHeight="1" x14ac:dyDescent="0.25">
      <c r="A5" s="34" t="s">
        <v>1</v>
      </c>
      <c r="B5" s="35" t="s">
        <v>2</v>
      </c>
      <c r="C5" s="36" t="s">
        <v>3</v>
      </c>
      <c r="D5" s="35" t="s">
        <v>4</v>
      </c>
      <c r="E5" s="35" t="s">
        <v>5</v>
      </c>
      <c r="F5" s="35" t="s">
        <v>6</v>
      </c>
      <c r="G5" s="36" t="s">
        <v>7</v>
      </c>
      <c r="H5" s="35" t="s">
        <v>8</v>
      </c>
      <c r="I5" s="35" t="s">
        <v>9</v>
      </c>
      <c r="J5" s="36" t="s">
        <v>10</v>
      </c>
      <c r="K5" s="37" t="s">
        <v>2</v>
      </c>
      <c r="L5" s="38" t="s">
        <v>11</v>
      </c>
    </row>
    <row r="6" spans="1:12" s="97" customFormat="1" ht="12" x14ac:dyDescent="0.25">
      <c r="A6" s="40"/>
      <c r="B6" s="41"/>
      <c r="C6" s="42"/>
      <c r="D6" s="41"/>
      <c r="E6" s="41"/>
      <c r="F6" s="41"/>
      <c r="G6" s="42"/>
      <c r="H6" s="41"/>
      <c r="I6" s="41"/>
      <c r="J6" s="42"/>
      <c r="K6" s="43" t="s">
        <v>12</v>
      </c>
      <c r="L6" s="44" t="s">
        <v>13</v>
      </c>
    </row>
    <row r="7" spans="1:12" s="97" customFormat="1" ht="20.25" customHeight="1" x14ac:dyDescent="0.25">
      <c r="A7" s="45" t="s">
        <v>16</v>
      </c>
      <c r="B7" s="35">
        <v>450000</v>
      </c>
      <c r="C7" s="46">
        <v>1025860</v>
      </c>
      <c r="D7" s="47">
        <v>531215</v>
      </c>
      <c r="E7" s="46"/>
      <c r="F7" s="46">
        <f>D7-E7</f>
        <v>531215</v>
      </c>
      <c r="G7" s="46">
        <v>12919</v>
      </c>
      <c r="H7" s="46">
        <v>433690</v>
      </c>
      <c r="I7" s="48"/>
      <c r="J7" s="46">
        <f>C7+D7-E7-G7-H7-I7</f>
        <v>1110466</v>
      </c>
      <c r="K7" s="49">
        <f>F7*100/B7</f>
        <v>118.04777777777778</v>
      </c>
      <c r="L7" s="50">
        <f>F7*100/F19</f>
        <v>10.296760062414592</v>
      </c>
    </row>
    <row r="8" spans="1:12" s="97" customFormat="1" ht="20.25" customHeight="1" x14ac:dyDescent="0.25">
      <c r="A8" s="51" t="s">
        <v>17</v>
      </c>
      <c r="B8" s="54">
        <v>450000</v>
      </c>
      <c r="C8" s="46">
        <v>1110466</v>
      </c>
      <c r="D8" s="47">
        <v>369545</v>
      </c>
      <c r="E8" s="53"/>
      <c r="F8" s="46">
        <f t="shared" ref="F8:F18" si="0">D8-E8</f>
        <v>369545</v>
      </c>
      <c r="G8" s="46">
        <v>2630</v>
      </c>
      <c r="H8" s="46">
        <v>251100</v>
      </c>
      <c r="I8" s="46">
        <v>0</v>
      </c>
      <c r="J8" s="52">
        <f>C8+D8-E8-G8-H8</f>
        <v>1226281</v>
      </c>
      <c r="K8" s="49">
        <f t="shared" ref="K8:K18" si="1">F8*100/B8</f>
        <v>82.121111111111105</v>
      </c>
      <c r="L8" s="50">
        <f>F8*100/F19</f>
        <v>7.1630435836055089</v>
      </c>
    </row>
    <row r="9" spans="1:12" s="97" customFormat="1" ht="20.25" customHeight="1" x14ac:dyDescent="0.25">
      <c r="A9" s="51" t="s">
        <v>18</v>
      </c>
      <c r="B9" s="54">
        <v>450000</v>
      </c>
      <c r="C9" s="46">
        <v>1226281</v>
      </c>
      <c r="D9" s="47">
        <v>455470</v>
      </c>
      <c r="E9" s="46">
        <v>3965</v>
      </c>
      <c r="F9" s="46">
        <f t="shared" si="0"/>
        <v>451505</v>
      </c>
      <c r="G9" s="46">
        <v>4023</v>
      </c>
      <c r="H9" s="46">
        <v>234730</v>
      </c>
      <c r="I9" s="46">
        <v>0</v>
      </c>
      <c r="J9" s="46">
        <f>C9+D9-E9-G9-H9</f>
        <v>1439033</v>
      </c>
      <c r="K9" s="49">
        <f t="shared" si="1"/>
        <v>100.33444444444444</v>
      </c>
      <c r="L9" s="50">
        <f>F9*100/F19</f>
        <v>8.7517081633246434</v>
      </c>
    </row>
    <row r="10" spans="1:12" s="97" customFormat="1" ht="20.25" customHeight="1" x14ac:dyDescent="0.25">
      <c r="A10" s="51" t="s">
        <v>19</v>
      </c>
      <c r="B10" s="54">
        <v>550000</v>
      </c>
      <c r="C10" s="46">
        <v>1439033</v>
      </c>
      <c r="D10" s="47">
        <v>359555</v>
      </c>
      <c r="E10" s="46">
        <v>5770</v>
      </c>
      <c r="F10" s="46">
        <f t="shared" si="0"/>
        <v>353785</v>
      </c>
      <c r="G10" s="46">
        <v>1785</v>
      </c>
      <c r="H10" s="46">
        <v>176160</v>
      </c>
      <c r="I10" s="46">
        <v>0</v>
      </c>
      <c r="J10" s="46">
        <f t="shared" ref="J10" si="2">C10+D10-E10-G10-H10</f>
        <v>1614873</v>
      </c>
      <c r="K10" s="49">
        <f t="shared" si="1"/>
        <v>64.324545454545458</v>
      </c>
      <c r="L10" s="50">
        <f>F10*100/F19</f>
        <v>6.8575609850650796</v>
      </c>
    </row>
    <row r="11" spans="1:12" s="97" customFormat="1" ht="20.25" customHeight="1" x14ac:dyDescent="0.25">
      <c r="A11" s="45" t="s">
        <v>28</v>
      </c>
      <c r="B11" s="35">
        <v>550000</v>
      </c>
      <c r="C11" s="46">
        <v>1614873</v>
      </c>
      <c r="D11" s="47">
        <v>419990</v>
      </c>
      <c r="E11" s="46">
        <v>3068</v>
      </c>
      <c r="F11" s="46">
        <f t="shared" si="0"/>
        <v>416922</v>
      </c>
      <c r="G11" s="46">
        <v>2210</v>
      </c>
      <c r="H11" s="46">
        <v>351395</v>
      </c>
      <c r="I11" s="46">
        <v>0</v>
      </c>
      <c r="J11" s="52">
        <f>C11+D11-E11-G11-H11</f>
        <v>1678190</v>
      </c>
      <c r="K11" s="49">
        <f t="shared" si="1"/>
        <v>75.804000000000002</v>
      </c>
      <c r="L11" s="50">
        <f>F11*100/F19</f>
        <v>8.0813715703472546</v>
      </c>
    </row>
    <row r="12" spans="1:12" s="97" customFormat="1" ht="20.25" customHeight="1" x14ac:dyDescent="0.25">
      <c r="A12" s="51" t="s">
        <v>21</v>
      </c>
      <c r="B12" s="54">
        <v>550000</v>
      </c>
      <c r="C12" s="46">
        <v>1678190</v>
      </c>
      <c r="D12" s="47">
        <v>395990</v>
      </c>
      <c r="E12" s="46">
        <v>2732</v>
      </c>
      <c r="F12" s="46">
        <f t="shared" si="0"/>
        <v>393258</v>
      </c>
      <c r="G12" s="46">
        <v>9094</v>
      </c>
      <c r="H12" s="46">
        <v>231065</v>
      </c>
      <c r="I12" s="46">
        <v>0</v>
      </c>
      <c r="J12" s="46">
        <f t="shared" ref="J12" si="3">C12+D12-E12-G12-H12</f>
        <v>1831289</v>
      </c>
      <c r="K12" s="49">
        <f t="shared" si="1"/>
        <v>71.50145454545455</v>
      </c>
      <c r="L12" s="50">
        <f>F12*100/F19</f>
        <v>7.6226824706098988</v>
      </c>
    </row>
    <row r="13" spans="1:12" s="97" customFormat="1" ht="20.25" customHeight="1" x14ac:dyDescent="0.25">
      <c r="A13" s="51" t="s">
        <v>22</v>
      </c>
      <c r="B13" s="54">
        <v>550000</v>
      </c>
      <c r="C13" s="46">
        <v>1913809</v>
      </c>
      <c r="D13" s="47">
        <v>501753</v>
      </c>
      <c r="E13" s="46">
        <v>4200</v>
      </c>
      <c r="F13" s="46">
        <f t="shared" si="0"/>
        <v>497553</v>
      </c>
      <c r="G13" s="46">
        <v>5178</v>
      </c>
      <c r="H13" s="46">
        <v>258600</v>
      </c>
      <c r="I13" s="46">
        <v>0</v>
      </c>
      <c r="J13" s="46">
        <f>C13+D13-E13-G13-H13</f>
        <v>2147584</v>
      </c>
      <c r="K13" s="49">
        <f t="shared" si="1"/>
        <v>90.464181818181814</v>
      </c>
      <c r="L13" s="50">
        <f>F13*100/F19</f>
        <v>9.6442755933747488</v>
      </c>
    </row>
    <row r="14" spans="1:12" s="97" customFormat="1" ht="20.25" customHeight="1" x14ac:dyDescent="0.25">
      <c r="A14" s="45" t="s">
        <v>23</v>
      </c>
      <c r="B14" s="35">
        <v>550000</v>
      </c>
      <c r="C14" s="46">
        <v>2147584</v>
      </c>
      <c r="D14" s="47">
        <v>561637</v>
      </c>
      <c r="E14" s="46">
        <v>32307</v>
      </c>
      <c r="F14" s="46">
        <f t="shared" si="0"/>
        <v>529330</v>
      </c>
      <c r="G14" s="46">
        <v>6868</v>
      </c>
      <c r="H14" s="46">
        <v>535070</v>
      </c>
      <c r="I14" s="48">
        <v>0</v>
      </c>
      <c r="J14" s="46">
        <f>C14+D14-E14-G14-H14-I14</f>
        <v>2134976</v>
      </c>
      <c r="K14" s="49">
        <f t="shared" si="1"/>
        <v>96.241818181818175</v>
      </c>
      <c r="L14" s="50">
        <f>F14*100/F19</f>
        <v>10.260222327754141</v>
      </c>
    </row>
    <row r="15" spans="1:12" s="97" customFormat="1" ht="20.25" customHeight="1" x14ac:dyDescent="0.25">
      <c r="A15" s="55" t="s">
        <v>24</v>
      </c>
      <c r="B15" s="35">
        <v>550000</v>
      </c>
      <c r="C15" s="46">
        <v>2134976</v>
      </c>
      <c r="D15" s="47">
        <v>561012</v>
      </c>
      <c r="E15" s="46">
        <v>57205</v>
      </c>
      <c r="F15" s="46">
        <f t="shared" si="0"/>
        <v>503807</v>
      </c>
      <c r="G15" s="46">
        <v>5939</v>
      </c>
      <c r="H15" s="46">
        <v>335660</v>
      </c>
      <c r="I15" s="46">
        <v>0</v>
      </c>
      <c r="J15" s="52">
        <f>C15+D15-E15-G15-H15-I15</f>
        <v>2297184</v>
      </c>
      <c r="K15" s="49">
        <f t="shared" si="1"/>
        <v>91.601272727272729</v>
      </c>
      <c r="L15" s="50">
        <f>F15*100/F19</f>
        <v>9.765499462110272</v>
      </c>
    </row>
    <row r="16" spans="1:12" s="97" customFormat="1" ht="20.25" customHeight="1" x14ac:dyDescent="0.25">
      <c r="A16" s="56" t="s">
        <v>25</v>
      </c>
      <c r="B16" s="35">
        <v>450000</v>
      </c>
      <c r="C16" s="46">
        <v>2297184</v>
      </c>
      <c r="D16" s="47">
        <v>580500</v>
      </c>
      <c r="E16" s="46">
        <v>0</v>
      </c>
      <c r="F16" s="46">
        <f t="shared" si="0"/>
        <v>580500</v>
      </c>
      <c r="G16" s="46">
        <v>12848</v>
      </c>
      <c r="H16" s="46">
        <v>420430</v>
      </c>
      <c r="I16" s="46">
        <v>0</v>
      </c>
      <c r="J16" s="52">
        <f t="shared" ref="J16:J17" si="4">C16+D16-E16-G16-H16-I16</f>
        <v>2444406</v>
      </c>
      <c r="K16" s="49">
        <f t="shared" si="1"/>
        <v>129</v>
      </c>
      <c r="L16" s="50">
        <f>F16*100/F19</f>
        <v>11.252071602329886</v>
      </c>
    </row>
    <row r="17" spans="1:12" s="97" customFormat="1" ht="20.25" customHeight="1" x14ac:dyDescent="0.25">
      <c r="A17" s="56" t="s">
        <v>26</v>
      </c>
      <c r="B17" s="35">
        <v>450000</v>
      </c>
      <c r="C17" s="46">
        <v>2444406</v>
      </c>
      <c r="D17" s="47">
        <v>372570</v>
      </c>
      <c r="E17" s="46">
        <v>0</v>
      </c>
      <c r="F17" s="46">
        <f t="shared" si="0"/>
        <v>372570</v>
      </c>
      <c r="G17" s="46">
        <v>11044</v>
      </c>
      <c r="H17" s="46">
        <v>314164</v>
      </c>
      <c r="I17" s="46">
        <v>0</v>
      </c>
      <c r="J17" s="52">
        <f t="shared" si="4"/>
        <v>2491768</v>
      </c>
      <c r="K17" s="49">
        <f t="shared" si="1"/>
        <v>82.793333333333337</v>
      </c>
      <c r="L17" s="50">
        <f>F17*100/F19</f>
        <v>7.2216784097847473</v>
      </c>
    </row>
    <row r="18" spans="1:12" s="97" customFormat="1" ht="20.25" customHeight="1" x14ac:dyDescent="0.25">
      <c r="A18" s="56" t="s">
        <v>27</v>
      </c>
      <c r="B18" s="35">
        <v>450000</v>
      </c>
      <c r="C18" s="46">
        <v>2392768</v>
      </c>
      <c r="D18" s="47">
        <v>170340</v>
      </c>
      <c r="E18" s="46">
        <v>11280</v>
      </c>
      <c r="F18" s="46">
        <f t="shared" si="0"/>
        <v>159060</v>
      </c>
      <c r="G18" s="46">
        <v>209827</v>
      </c>
      <c r="H18" s="46">
        <v>812980</v>
      </c>
      <c r="I18" s="46">
        <v>42180</v>
      </c>
      <c r="J18" s="52">
        <f>C18+D18-E18-G18-H18-I18</f>
        <v>1486841</v>
      </c>
      <c r="K18" s="49">
        <f t="shared" si="1"/>
        <v>35.346666666666664</v>
      </c>
      <c r="L18" s="50">
        <f>F18*100/F19</f>
        <v>3.0831257692792278</v>
      </c>
    </row>
    <row r="19" spans="1:12" s="97" customFormat="1" ht="20.25" customHeight="1" x14ac:dyDescent="0.25">
      <c r="A19" s="33" t="s">
        <v>14</v>
      </c>
      <c r="B19" s="33">
        <f>SUM(B7:B18)</f>
        <v>6000000</v>
      </c>
      <c r="C19" s="33"/>
      <c r="D19" s="57">
        <f t="shared" ref="D19:I19" si="5">SUM(D7:D18)</f>
        <v>5279577</v>
      </c>
      <c r="E19" s="33">
        <f t="shared" si="5"/>
        <v>120527</v>
      </c>
      <c r="F19" s="33">
        <f t="shared" si="5"/>
        <v>5159050</v>
      </c>
      <c r="G19" s="33">
        <f t="shared" si="5"/>
        <v>284365</v>
      </c>
      <c r="H19" s="33">
        <f t="shared" si="5"/>
        <v>4355044</v>
      </c>
      <c r="I19" s="33">
        <f t="shared" si="5"/>
        <v>42180</v>
      </c>
      <c r="J19" s="33"/>
      <c r="K19" s="59">
        <f>F19*100/B19</f>
        <v>85.984166666666667</v>
      </c>
      <c r="L19" s="59"/>
    </row>
    <row r="21" spans="1:12" s="94" customFormat="1" x14ac:dyDescent="0.2">
      <c r="A21" s="118" t="s">
        <v>48</v>
      </c>
      <c r="B21" s="29"/>
      <c r="C21" s="29"/>
      <c r="D21" s="106">
        <f>F19/12</f>
        <v>429920.83333333331</v>
      </c>
      <c r="E21" s="29"/>
      <c r="F21" s="95"/>
      <c r="G21" s="95"/>
      <c r="H21" s="95"/>
      <c r="I21" s="95"/>
      <c r="J21" s="101"/>
      <c r="K21" s="95"/>
      <c r="L21" s="95"/>
    </row>
    <row r="22" spans="1:12" s="94" customFormat="1" x14ac:dyDescent="0.2">
      <c r="A22" s="118" t="s">
        <v>47</v>
      </c>
      <c r="B22" s="29"/>
      <c r="C22" s="29"/>
      <c r="D22" s="106">
        <f>B19/12</f>
        <v>500000</v>
      </c>
      <c r="E22" s="29"/>
      <c r="J22" s="101"/>
    </row>
    <row r="23" spans="1:12" x14ac:dyDescent="0.25">
      <c r="A23" s="118" t="s">
        <v>45</v>
      </c>
      <c r="B23" s="29"/>
      <c r="C23" s="29"/>
      <c r="D23" s="106">
        <f>H19/12</f>
        <v>362920.33333333331</v>
      </c>
      <c r="E23" s="29"/>
      <c r="J23" s="104"/>
    </row>
    <row r="24" spans="1:12" s="94" customFormat="1" x14ac:dyDescent="0.2">
      <c r="A24" s="118" t="s">
        <v>46</v>
      </c>
      <c r="B24" s="29"/>
      <c r="C24" s="29"/>
      <c r="D24" s="107">
        <v>0.85980000000000001</v>
      </c>
      <c r="E24" s="29"/>
      <c r="J24" s="101"/>
    </row>
    <row r="25" spans="1:12" s="94" customFormat="1" x14ac:dyDescent="0.2">
      <c r="A25" s="118" t="s">
        <v>49</v>
      </c>
      <c r="B25" s="29"/>
      <c r="C25" s="29"/>
      <c r="D25" s="107">
        <v>0.14019999999999999</v>
      </c>
      <c r="E25" s="29"/>
    </row>
    <row r="26" spans="1:12" x14ac:dyDescent="0.25">
      <c r="J26" s="117" t="s">
        <v>69</v>
      </c>
    </row>
    <row r="27" spans="1:12" x14ac:dyDescent="0.25">
      <c r="J27" s="117" t="s">
        <v>70</v>
      </c>
    </row>
  </sheetData>
  <mergeCells count="3">
    <mergeCell ref="A1:L1"/>
    <mergeCell ref="A2:L2"/>
    <mergeCell ref="A3:L3"/>
  </mergeCells>
  <pageMargins left="0.25" right="0" top="0.75" bottom="0.75" header="0.3" footer="0.3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7"/>
  <sheetViews>
    <sheetView view="pageLayout" topLeftCell="A16" zoomScaleNormal="100" workbookViewId="0">
      <selection activeCell="K24" sqref="K24"/>
    </sheetView>
  </sheetViews>
  <sheetFormatPr defaultRowHeight="15" x14ac:dyDescent="0.25"/>
  <cols>
    <col min="1" max="1" width="10.85546875" bestFit="1" customWidth="1"/>
    <col min="2" max="2" width="12.42578125" bestFit="1" customWidth="1"/>
    <col min="3" max="3" width="13.85546875" bestFit="1" customWidth="1"/>
    <col min="4" max="4" width="12.42578125" bestFit="1" customWidth="1"/>
    <col min="5" max="5" width="11" bestFit="1" customWidth="1"/>
    <col min="6" max="8" width="12.42578125" bestFit="1" customWidth="1"/>
    <col min="10" max="10" width="13.28515625" customWidth="1"/>
    <col min="11" max="11" width="15" bestFit="1" customWidth="1"/>
    <col min="12" max="12" width="9.7109375" customWidth="1"/>
  </cols>
  <sheetData>
    <row r="1" spans="1:12" ht="27" x14ac:dyDescent="0.35">
      <c r="A1" s="139" t="s">
        <v>15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</row>
    <row r="2" spans="1:12" ht="23.25" x14ac:dyDescent="0.35">
      <c r="A2" s="133" t="s">
        <v>41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</row>
    <row r="3" spans="1:12" ht="18.75" x14ac:dyDescent="0.25">
      <c r="A3" s="129" t="s">
        <v>36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</row>
    <row r="4" spans="1:12" x14ac:dyDescent="0.25">
      <c r="A4" s="1"/>
      <c r="B4" s="1"/>
      <c r="C4" s="1"/>
      <c r="E4" s="26"/>
      <c r="F4" s="26"/>
      <c r="G4" s="26"/>
      <c r="H4" s="26"/>
      <c r="J4" s="25" t="s">
        <v>59</v>
      </c>
      <c r="K4" s="1"/>
      <c r="L4" s="1"/>
    </row>
    <row r="5" spans="1:12" s="67" customFormat="1" ht="19.5" customHeight="1" x14ac:dyDescent="0.2">
      <c r="A5" s="62" t="s">
        <v>1</v>
      </c>
      <c r="B5" s="63" t="s">
        <v>2</v>
      </c>
      <c r="C5" s="64" t="s">
        <v>3</v>
      </c>
      <c r="D5" s="63" t="s">
        <v>4</v>
      </c>
      <c r="E5" s="63" t="s">
        <v>5</v>
      </c>
      <c r="F5" s="63" t="s">
        <v>6</v>
      </c>
      <c r="G5" s="64" t="s">
        <v>7</v>
      </c>
      <c r="H5" s="63" t="s">
        <v>8</v>
      </c>
      <c r="I5" s="63" t="s">
        <v>9</v>
      </c>
      <c r="J5" s="64" t="s">
        <v>10</v>
      </c>
      <c r="K5" s="65" t="s">
        <v>2</v>
      </c>
      <c r="L5" s="66" t="s">
        <v>11</v>
      </c>
    </row>
    <row r="6" spans="1:12" s="67" customFormat="1" ht="12" x14ac:dyDescent="0.2">
      <c r="A6" s="68"/>
      <c r="B6" s="69"/>
      <c r="C6" s="70"/>
      <c r="D6" s="69"/>
      <c r="E6" s="69"/>
      <c r="F6" s="69"/>
      <c r="G6" s="70"/>
      <c r="H6" s="69"/>
      <c r="I6" s="69"/>
      <c r="J6" s="70"/>
      <c r="K6" s="71" t="s">
        <v>12</v>
      </c>
      <c r="L6" s="72" t="s">
        <v>13</v>
      </c>
    </row>
    <row r="7" spans="1:12" s="67" customFormat="1" ht="19.5" customHeight="1" x14ac:dyDescent="0.2">
      <c r="A7" s="73" t="s">
        <v>16</v>
      </c>
      <c r="B7" s="63">
        <v>300000</v>
      </c>
      <c r="C7" s="75">
        <v>1127670</v>
      </c>
      <c r="D7" s="76">
        <v>154760</v>
      </c>
      <c r="E7" s="75"/>
      <c r="F7" s="75">
        <f>D7-E7</f>
        <v>154760</v>
      </c>
      <c r="G7" s="75">
        <v>150890</v>
      </c>
      <c r="H7" s="75">
        <v>282540</v>
      </c>
      <c r="I7" s="77"/>
      <c r="J7" s="75">
        <f>C7+D7-E7-G7-H7-I7</f>
        <v>849000</v>
      </c>
      <c r="K7" s="78">
        <f>F7*100/B7</f>
        <v>51.586666666666666</v>
      </c>
      <c r="L7" s="89">
        <f>100*F7/F19</f>
        <v>9.8311189599697624</v>
      </c>
    </row>
    <row r="8" spans="1:12" s="67" customFormat="1" ht="19.5" customHeight="1" x14ac:dyDescent="0.2">
      <c r="A8" s="80" t="s">
        <v>17</v>
      </c>
      <c r="B8" s="91">
        <v>300000</v>
      </c>
      <c r="C8" s="75">
        <v>849000</v>
      </c>
      <c r="D8" s="76">
        <v>175580</v>
      </c>
      <c r="E8" s="81"/>
      <c r="F8" s="75">
        <f t="shared" ref="F8:F18" si="0">D8-E8</f>
        <v>175580</v>
      </c>
      <c r="G8" s="75">
        <v>1640</v>
      </c>
      <c r="H8" s="75">
        <v>165000</v>
      </c>
      <c r="I8" s="75"/>
      <c r="J8" s="75">
        <f t="shared" ref="J8:J18" si="1">C8+D8-E8-G8-H8-I8</f>
        <v>857940</v>
      </c>
      <c r="K8" s="78">
        <f t="shared" ref="K8:K18" si="2">F8*100/B8</f>
        <v>58.526666666666664</v>
      </c>
      <c r="L8" s="89">
        <f>100*F8/F19</f>
        <v>11.153708109275593</v>
      </c>
    </row>
    <row r="9" spans="1:12" s="67" customFormat="1" ht="19.5" customHeight="1" x14ac:dyDescent="0.2">
      <c r="A9" s="80" t="s">
        <v>18</v>
      </c>
      <c r="B9" s="91">
        <v>300000</v>
      </c>
      <c r="C9" s="75">
        <v>857940</v>
      </c>
      <c r="D9" s="76">
        <v>152070</v>
      </c>
      <c r="E9" s="75"/>
      <c r="F9" s="75">
        <f t="shared" si="0"/>
        <v>152070</v>
      </c>
      <c r="G9" s="75">
        <v>1690</v>
      </c>
      <c r="H9" s="75">
        <v>107000</v>
      </c>
      <c r="I9" s="75"/>
      <c r="J9" s="75">
        <f t="shared" si="1"/>
        <v>901320</v>
      </c>
      <c r="K9" s="78">
        <f t="shared" si="2"/>
        <v>50.69</v>
      </c>
      <c r="L9" s="89">
        <f>100*F9/F19</f>
        <v>9.6602368844830817</v>
      </c>
    </row>
    <row r="10" spans="1:12" s="67" customFormat="1" ht="19.5" customHeight="1" x14ac:dyDescent="0.2">
      <c r="A10" s="80" t="s">
        <v>19</v>
      </c>
      <c r="B10" s="91">
        <v>350000</v>
      </c>
      <c r="C10" s="75">
        <v>901320</v>
      </c>
      <c r="D10" s="76">
        <v>264320</v>
      </c>
      <c r="E10" s="75"/>
      <c r="F10" s="75">
        <f t="shared" si="0"/>
        <v>264320</v>
      </c>
      <c r="G10" s="75">
        <v>1400</v>
      </c>
      <c r="H10" s="75">
        <v>164380</v>
      </c>
      <c r="I10" s="75"/>
      <c r="J10" s="75">
        <f t="shared" si="1"/>
        <v>999860</v>
      </c>
      <c r="K10" s="78">
        <f t="shared" si="2"/>
        <v>75.52</v>
      </c>
      <c r="L10" s="89">
        <f>100*F10/F19</f>
        <v>16.790910852282291</v>
      </c>
    </row>
    <row r="11" spans="1:12" s="67" customFormat="1" ht="19.5" customHeight="1" x14ac:dyDescent="0.2">
      <c r="A11" s="73" t="s">
        <v>28</v>
      </c>
      <c r="B11" s="63">
        <v>350000</v>
      </c>
      <c r="C11" s="75">
        <v>999860</v>
      </c>
      <c r="D11" s="76">
        <v>152880</v>
      </c>
      <c r="E11" s="75"/>
      <c r="F11" s="75">
        <f t="shared" si="0"/>
        <v>152880</v>
      </c>
      <c r="G11" s="75">
        <v>1390</v>
      </c>
      <c r="H11" s="75">
        <v>134900</v>
      </c>
      <c r="I11" s="75"/>
      <c r="J11" s="75">
        <f t="shared" si="1"/>
        <v>1016450</v>
      </c>
      <c r="K11" s="78">
        <f t="shared" si="2"/>
        <v>43.68</v>
      </c>
      <c r="L11" s="89">
        <f>100*F11/F19</f>
        <v>9.7116920819344621</v>
      </c>
    </row>
    <row r="12" spans="1:12" s="67" customFormat="1" ht="19.5" customHeight="1" x14ac:dyDescent="0.2">
      <c r="A12" s="80" t="s">
        <v>21</v>
      </c>
      <c r="B12" s="91">
        <v>350000</v>
      </c>
      <c r="C12" s="75">
        <v>1016450</v>
      </c>
      <c r="D12" s="76">
        <v>111840</v>
      </c>
      <c r="E12" s="75"/>
      <c r="F12" s="75">
        <f t="shared" si="0"/>
        <v>111840</v>
      </c>
      <c r="G12" s="75">
        <v>2760</v>
      </c>
      <c r="H12" s="75">
        <v>78750</v>
      </c>
      <c r="I12" s="75"/>
      <c r="J12" s="75">
        <f t="shared" si="1"/>
        <v>1046780</v>
      </c>
      <c r="K12" s="78">
        <f t="shared" si="2"/>
        <v>31.954285714285714</v>
      </c>
      <c r="L12" s="89">
        <f>100*F12/F19</f>
        <v>7.1046287443978944</v>
      </c>
    </row>
    <row r="13" spans="1:12" s="67" customFormat="1" ht="19.5" customHeight="1" x14ac:dyDescent="0.2">
      <c r="A13" s="80" t="s">
        <v>22</v>
      </c>
      <c r="B13" s="91">
        <v>400000</v>
      </c>
      <c r="C13" s="75">
        <v>1051180</v>
      </c>
      <c r="D13" s="76">
        <v>201355</v>
      </c>
      <c r="E13" s="75">
        <v>4200</v>
      </c>
      <c r="F13" s="75">
        <f t="shared" si="0"/>
        <v>197155</v>
      </c>
      <c r="G13" s="75">
        <v>2450</v>
      </c>
      <c r="H13" s="75">
        <v>138760</v>
      </c>
      <c r="I13" s="75"/>
      <c r="J13" s="75">
        <f t="shared" si="1"/>
        <v>1107125</v>
      </c>
      <c r="K13" s="78">
        <f t="shared" si="2"/>
        <v>49.28875</v>
      </c>
      <c r="L13" s="89">
        <f>100*F13/F19</f>
        <v>12.52425858460092</v>
      </c>
    </row>
    <row r="14" spans="1:12" s="67" customFormat="1" ht="19.5" customHeight="1" x14ac:dyDescent="0.2">
      <c r="A14" s="73" t="s">
        <v>23</v>
      </c>
      <c r="B14" s="63">
        <v>400000</v>
      </c>
      <c r="C14" s="75">
        <v>1102725</v>
      </c>
      <c r="D14" s="76">
        <v>104535</v>
      </c>
      <c r="E14" s="75">
        <v>4950</v>
      </c>
      <c r="F14" s="75">
        <f t="shared" si="0"/>
        <v>99585</v>
      </c>
      <c r="G14" s="75">
        <v>1230</v>
      </c>
      <c r="H14" s="75">
        <v>100000</v>
      </c>
      <c r="I14" s="77"/>
      <c r="J14" s="75">
        <f t="shared" si="1"/>
        <v>1101080</v>
      </c>
      <c r="K14" s="78">
        <f t="shared" si="2"/>
        <v>24.896249999999998</v>
      </c>
      <c r="L14" s="89">
        <f>100*F14/F19</f>
        <v>6.3261306644390594</v>
      </c>
    </row>
    <row r="15" spans="1:12" s="67" customFormat="1" ht="19.5" customHeight="1" x14ac:dyDescent="0.2">
      <c r="A15" s="83" t="s">
        <v>24</v>
      </c>
      <c r="B15" s="63">
        <v>400000</v>
      </c>
      <c r="C15" s="75">
        <v>1101080</v>
      </c>
      <c r="D15" s="76">
        <v>155370</v>
      </c>
      <c r="E15" s="75">
        <v>3960</v>
      </c>
      <c r="F15" s="75">
        <f t="shared" si="0"/>
        <v>151410</v>
      </c>
      <c r="G15" s="75">
        <v>2450</v>
      </c>
      <c r="H15" s="75">
        <v>94520</v>
      </c>
      <c r="I15" s="75"/>
      <c r="J15" s="75">
        <f t="shared" si="1"/>
        <v>1155520</v>
      </c>
      <c r="K15" s="78">
        <f t="shared" si="2"/>
        <v>37.852499999999999</v>
      </c>
      <c r="L15" s="89">
        <f>100*F15/F19</f>
        <v>9.6183104273004769</v>
      </c>
    </row>
    <row r="16" spans="1:12" s="67" customFormat="1" ht="19.5" customHeight="1" x14ac:dyDescent="0.2">
      <c r="A16" s="74" t="s">
        <v>25</v>
      </c>
      <c r="B16" s="63">
        <v>350000</v>
      </c>
      <c r="C16" s="75">
        <v>1155520</v>
      </c>
      <c r="D16" s="76">
        <v>108125</v>
      </c>
      <c r="E16" s="75">
        <v>9180</v>
      </c>
      <c r="F16" s="75">
        <f t="shared" si="0"/>
        <v>98945</v>
      </c>
      <c r="G16" s="75">
        <v>2360</v>
      </c>
      <c r="H16" s="75">
        <v>122850</v>
      </c>
      <c r="I16" s="75"/>
      <c r="J16" s="75">
        <f>C16+D16-E16-G16-H16-I16</f>
        <v>1129255</v>
      </c>
      <c r="K16" s="78">
        <f t="shared" si="2"/>
        <v>28.27</v>
      </c>
      <c r="L16" s="89">
        <f>100*F16/F19</f>
        <v>6.2854747059589569</v>
      </c>
    </row>
    <row r="17" spans="1:12" s="67" customFormat="1" ht="19.5" customHeight="1" x14ac:dyDescent="0.2">
      <c r="A17" s="74" t="s">
        <v>26</v>
      </c>
      <c r="B17" s="63">
        <v>350000</v>
      </c>
      <c r="C17" s="75">
        <v>1129255</v>
      </c>
      <c r="D17" s="76">
        <v>32685</v>
      </c>
      <c r="E17" s="75">
        <v>22745</v>
      </c>
      <c r="F17" s="75">
        <f t="shared" si="0"/>
        <v>9940</v>
      </c>
      <c r="G17" s="75">
        <v>34520</v>
      </c>
      <c r="H17" s="75">
        <v>121230</v>
      </c>
      <c r="I17" s="75"/>
      <c r="J17" s="75">
        <f t="shared" si="1"/>
        <v>983445</v>
      </c>
      <c r="K17" s="78">
        <f t="shared" si="2"/>
        <v>2.84</v>
      </c>
      <c r="L17" s="89">
        <f>100*F17/F19</f>
        <v>0.63143785514409045</v>
      </c>
    </row>
    <row r="18" spans="1:12" s="67" customFormat="1" ht="19.5" customHeight="1" x14ac:dyDescent="0.2">
      <c r="A18" s="74" t="s">
        <v>27</v>
      </c>
      <c r="B18" s="63">
        <v>350000</v>
      </c>
      <c r="C18" s="75">
        <v>983445</v>
      </c>
      <c r="D18" s="76">
        <v>14300</v>
      </c>
      <c r="E18" s="75">
        <v>8600</v>
      </c>
      <c r="F18" s="75">
        <f t="shared" si="0"/>
        <v>5700</v>
      </c>
      <c r="G18" s="75">
        <v>300</v>
      </c>
      <c r="H18" s="75">
        <v>66150</v>
      </c>
      <c r="I18" s="75"/>
      <c r="J18" s="75">
        <f t="shared" si="1"/>
        <v>922695</v>
      </c>
      <c r="K18" s="78">
        <f t="shared" si="2"/>
        <v>1.6285714285714286</v>
      </c>
      <c r="L18" s="89">
        <f>100*F18/F19</f>
        <v>0.36209213021341202</v>
      </c>
    </row>
    <row r="19" spans="1:12" s="67" customFormat="1" ht="19.5" customHeight="1" x14ac:dyDescent="0.2">
      <c r="A19" s="32" t="s">
        <v>14</v>
      </c>
      <c r="B19" s="32">
        <f>SUM(B7:B18)</f>
        <v>4200000</v>
      </c>
      <c r="C19" s="32"/>
      <c r="D19" s="84">
        <f>SUM(D7:D18)</f>
        <v>1627820</v>
      </c>
      <c r="E19" s="32">
        <f>SUM(E7:E18)</f>
        <v>53635</v>
      </c>
      <c r="F19" s="32">
        <f>SUM(F7:F18)</f>
        <v>1574185</v>
      </c>
      <c r="G19" s="32">
        <f>SUM(G7:G18)</f>
        <v>203080</v>
      </c>
      <c r="H19" s="32">
        <f>SUM(H7:H18)</f>
        <v>1576080</v>
      </c>
      <c r="I19" s="32"/>
      <c r="J19" s="32"/>
      <c r="K19" s="93">
        <f>F19*100/B19</f>
        <v>37.480595238095241</v>
      </c>
      <c r="L19" s="93"/>
    </row>
    <row r="21" spans="1:12" s="94" customFormat="1" x14ac:dyDescent="0.2">
      <c r="A21" s="118" t="s">
        <v>48</v>
      </c>
      <c r="B21" s="29"/>
      <c r="C21" s="29"/>
      <c r="D21" s="106">
        <f>F19/12</f>
        <v>131182.08333333334</v>
      </c>
      <c r="E21" s="29"/>
      <c r="F21" s="95"/>
      <c r="G21" s="95"/>
      <c r="H21" s="95"/>
      <c r="I21" s="95"/>
      <c r="J21" s="101"/>
      <c r="K21" s="95"/>
      <c r="L21" s="95"/>
    </row>
    <row r="22" spans="1:12" s="94" customFormat="1" x14ac:dyDescent="0.2">
      <c r="A22" s="118" t="s">
        <v>47</v>
      </c>
      <c r="B22" s="29"/>
      <c r="C22" s="29"/>
      <c r="D22" s="106">
        <f>B19/12</f>
        <v>350000</v>
      </c>
      <c r="E22" s="29"/>
      <c r="J22" s="101"/>
    </row>
    <row r="23" spans="1:12" x14ac:dyDescent="0.25">
      <c r="A23" s="118" t="s">
        <v>45</v>
      </c>
      <c r="B23" s="29"/>
      <c r="C23" s="29"/>
      <c r="D23" s="106">
        <f>H19/12</f>
        <v>131340</v>
      </c>
      <c r="E23" s="29"/>
      <c r="J23" s="104"/>
    </row>
    <row r="24" spans="1:12" s="94" customFormat="1" x14ac:dyDescent="0.2">
      <c r="A24" s="118" t="s">
        <v>46</v>
      </c>
      <c r="B24" s="29"/>
      <c r="C24" s="29"/>
      <c r="D24" s="107">
        <v>0.37480000000000002</v>
      </c>
      <c r="E24" s="29"/>
      <c r="J24" s="101"/>
    </row>
    <row r="25" spans="1:12" s="94" customFormat="1" x14ac:dyDescent="0.2">
      <c r="A25" s="118" t="s">
        <v>49</v>
      </c>
      <c r="B25" s="29"/>
      <c r="C25" s="29"/>
      <c r="D25" s="107">
        <v>0.62519999999999998</v>
      </c>
      <c r="E25" s="29"/>
    </row>
    <row r="26" spans="1:12" x14ac:dyDescent="0.25">
      <c r="J26" s="117" t="s">
        <v>69</v>
      </c>
    </row>
    <row r="27" spans="1:12" x14ac:dyDescent="0.25">
      <c r="J27" s="117" t="s">
        <v>70</v>
      </c>
    </row>
  </sheetData>
  <mergeCells count="3">
    <mergeCell ref="A1:L1"/>
    <mergeCell ref="A2:L2"/>
    <mergeCell ref="A3:L3"/>
  </mergeCells>
  <pageMargins left="0.25" right="0" top="0.75" bottom="0.75" header="0.3" footer="0.3"/>
  <pageSetup paperSize="9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9"/>
  <sheetViews>
    <sheetView view="pageLayout" topLeftCell="A10" zoomScaleNormal="100" workbookViewId="0">
      <selection activeCell="D25" sqref="D25"/>
    </sheetView>
  </sheetViews>
  <sheetFormatPr defaultRowHeight="15" x14ac:dyDescent="0.25"/>
  <cols>
    <col min="1" max="1" width="10.85546875" bestFit="1" customWidth="1"/>
    <col min="2" max="2" width="12.42578125" bestFit="1" customWidth="1"/>
    <col min="3" max="3" width="13.85546875" bestFit="1" customWidth="1"/>
    <col min="4" max="5" width="11" bestFit="1" customWidth="1"/>
    <col min="6" max="6" width="11" customWidth="1"/>
    <col min="7" max="7" width="12.42578125" bestFit="1" customWidth="1"/>
    <col min="8" max="8" width="15.140625" customWidth="1"/>
    <col min="9" max="9" width="9.42578125" bestFit="1" customWidth="1"/>
    <col min="10" max="10" width="12.42578125" customWidth="1"/>
    <col min="11" max="11" width="15" bestFit="1" customWidth="1"/>
    <col min="12" max="12" width="10.7109375" customWidth="1"/>
  </cols>
  <sheetData>
    <row r="1" spans="1:12" ht="25.5" x14ac:dyDescent="0.35">
      <c r="A1" s="138" t="s">
        <v>15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</row>
    <row r="2" spans="1:12" ht="23.25" x14ac:dyDescent="0.35">
      <c r="A2" s="133" t="s">
        <v>31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</row>
    <row r="3" spans="1:12" ht="18.75" x14ac:dyDescent="0.25">
      <c r="A3" s="129" t="s">
        <v>36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</row>
    <row r="4" spans="1:12" x14ac:dyDescent="0.25">
      <c r="A4" s="1"/>
      <c r="B4" s="1"/>
      <c r="C4" s="1"/>
      <c r="E4" s="26"/>
      <c r="F4" s="26"/>
      <c r="G4" s="26"/>
      <c r="H4" s="25" t="s">
        <v>56</v>
      </c>
      <c r="J4" s="1"/>
      <c r="K4" s="1"/>
      <c r="L4" s="1"/>
    </row>
    <row r="5" spans="1:12" s="67" customFormat="1" ht="16.5" customHeight="1" x14ac:dyDescent="0.2">
      <c r="A5" s="62" t="s">
        <v>1</v>
      </c>
      <c r="B5" s="63" t="s">
        <v>2</v>
      </c>
      <c r="C5" s="64" t="s">
        <v>3</v>
      </c>
      <c r="D5" s="63" t="s">
        <v>4</v>
      </c>
      <c r="E5" s="63" t="s">
        <v>5</v>
      </c>
      <c r="F5" s="63" t="s">
        <v>6</v>
      </c>
      <c r="G5" s="64" t="s">
        <v>7</v>
      </c>
      <c r="H5" s="63" t="s">
        <v>8</v>
      </c>
      <c r="I5" s="63" t="s">
        <v>9</v>
      </c>
      <c r="J5" s="64" t="s">
        <v>10</v>
      </c>
      <c r="K5" s="65" t="s">
        <v>2</v>
      </c>
      <c r="L5" s="66" t="s">
        <v>11</v>
      </c>
    </row>
    <row r="6" spans="1:12" s="67" customFormat="1" ht="12" x14ac:dyDescent="0.2">
      <c r="A6" s="68"/>
      <c r="B6" s="69"/>
      <c r="C6" s="70"/>
      <c r="D6" s="69"/>
      <c r="E6" s="69"/>
      <c r="F6" s="69"/>
      <c r="G6" s="70"/>
      <c r="H6" s="69"/>
      <c r="I6" s="69"/>
      <c r="J6" s="70"/>
      <c r="K6" s="71" t="s">
        <v>12</v>
      </c>
      <c r="L6" s="72" t="s">
        <v>13</v>
      </c>
    </row>
    <row r="7" spans="1:12" s="67" customFormat="1" ht="18.75" customHeight="1" x14ac:dyDescent="0.2">
      <c r="A7" s="73" t="s">
        <v>16</v>
      </c>
      <c r="B7" s="63">
        <v>200000</v>
      </c>
      <c r="C7" s="75">
        <v>607515</v>
      </c>
      <c r="D7" s="76">
        <v>210690</v>
      </c>
      <c r="E7" s="75"/>
      <c r="F7" s="75">
        <v>210690</v>
      </c>
      <c r="G7" s="75">
        <v>250</v>
      </c>
      <c r="H7" s="75">
        <v>166125</v>
      </c>
      <c r="I7" s="77">
        <v>0</v>
      </c>
      <c r="J7" s="75">
        <f>C7+D7-E7-G7-H7-I7</f>
        <v>651830</v>
      </c>
      <c r="K7" s="78">
        <f>F7*100/B7</f>
        <v>105.345</v>
      </c>
      <c r="L7" s="89">
        <f>F7*100/F19</f>
        <v>27.350615969779184</v>
      </c>
    </row>
    <row r="8" spans="1:12" s="67" customFormat="1" ht="18.75" customHeight="1" x14ac:dyDescent="0.2">
      <c r="A8" s="80" t="s">
        <v>17</v>
      </c>
      <c r="B8" s="91">
        <v>200000</v>
      </c>
      <c r="C8" s="75">
        <v>651830</v>
      </c>
      <c r="D8" s="76">
        <v>72435</v>
      </c>
      <c r="E8" s="81"/>
      <c r="F8" s="75">
        <v>72435</v>
      </c>
      <c r="G8" s="75">
        <v>650</v>
      </c>
      <c r="H8" s="75">
        <v>54680</v>
      </c>
      <c r="I8" s="75">
        <v>0</v>
      </c>
      <c r="J8" s="75">
        <f t="shared" ref="J8:J18" si="0">C8+D8-E8-G8-H8-I8</f>
        <v>668935</v>
      </c>
      <c r="K8" s="78">
        <f t="shared" ref="K8:K18" si="1">F8*100/B8</f>
        <v>36.217500000000001</v>
      </c>
      <c r="L8" s="89">
        <f>100*F8/F19</f>
        <v>9.4031129515921741</v>
      </c>
    </row>
    <row r="9" spans="1:12" s="67" customFormat="1" ht="18.75" customHeight="1" x14ac:dyDescent="0.2">
      <c r="A9" s="80" t="s">
        <v>18</v>
      </c>
      <c r="B9" s="91">
        <v>200000</v>
      </c>
      <c r="C9" s="75">
        <v>668935</v>
      </c>
      <c r="D9" s="76">
        <v>95900</v>
      </c>
      <c r="E9" s="75">
        <v>27870</v>
      </c>
      <c r="F9" s="75">
        <f>D9-E9</f>
        <v>68030</v>
      </c>
      <c r="G9" s="75">
        <v>18366</v>
      </c>
      <c r="H9" s="75">
        <v>55620</v>
      </c>
      <c r="I9" s="75">
        <v>0</v>
      </c>
      <c r="J9" s="75">
        <f t="shared" si="0"/>
        <v>662979</v>
      </c>
      <c r="K9" s="78">
        <f t="shared" si="1"/>
        <v>34.015000000000001</v>
      </c>
      <c r="L9" s="89">
        <f>100*F9/F19</f>
        <v>8.8312801007360484</v>
      </c>
    </row>
    <row r="10" spans="1:12" s="67" customFormat="1" ht="18.75" customHeight="1" x14ac:dyDescent="0.2">
      <c r="A10" s="80" t="s">
        <v>19</v>
      </c>
      <c r="B10" s="91">
        <v>300000</v>
      </c>
      <c r="C10" s="75">
        <v>662979</v>
      </c>
      <c r="D10" s="76">
        <v>37325</v>
      </c>
      <c r="E10" s="75">
        <v>58430</v>
      </c>
      <c r="F10" s="75">
        <f>D10-E10</f>
        <v>-21105</v>
      </c>
      <c r="G10" s="75">
        <v>565</v>
      </c>
      <c r="H10" s="75">
        <v>36900</v>
      </c>
      <c r="I10" s="75">
        <v>0</v>
      </c>
      <c r="J10" s="75">
        <f t="shared" si="0"/>
        <v>604409</v>
      </c>
      <c r="K10" s="78">
        <f t="shared" si="1"/>
        <v>-7.0350000000000001</v>
      </c>
      <c r="L10" s="89">
        <f>100*F10/F19</f>
        <v>-2.7397349188010334</v>
      </c>
    </row>
    <row r="11" spans="1:12" s="67" customFormat="1" ht="18.75" customHeight="1" x14ac:dyDescent="0.2">
      <c r="A11" s="73" t="s">
        <v>28</v>
      </c>
      <c r="B11" s="63">
        <v>300000</v>
      </c>
      <c r="C11" s="75">
        <v>604409</v>
      </c>
      <c r="D11" s="76">
        <v>50790</v>
      </c>
      <c r="E11" s="75"/>
      <c r="F11" s="75">
        <v>50790</v>
      </c>
      <c r="G11" s="75">
        <v>90</v>
      </c>
      <c r="H11" s="75">
        <v>31210</v>
      </c>
      <c r="I11" s="75">
        <v>0</v>
      </c>
      <c r="J11" s="75">
        <f t="shared" si="0"/>
        <v>623899</v>
      </c>
      <c r="K11" s="78">
        <f t="shared" si="1"/>
        <v>16.93</v>
      </c>
      <c r="L11" s="89">
        <f>F11*100/F19</f>
        <v>6.5932782054444203</v>
      </c>
    </row>
    <row r="12" spans="1:12" s="67" customFormat="1" ht="18.75" customHeight="1" x14ac:dyDescent="0.2">
      <c r="A12" s="80" t="s">
        <v>21</v>
      </c>
      <c r="B12" s="91">
        <v>300000</v>
      </c>
      <c r="C12" s="75">
        <v>623899</v>
      </c>
      <c r="D12" s="76">
        <v>47785</v>
      </c>
      <c r="E12" s="75"/>
      <c r="F12" s="75">
        <v>47785</v>
      </c>
      <c r="G12" s="75">
        <v>1380</v>
      </c>
      <c r="H12" s="75">
        <v>54310</v>
      </c>
      <c r="I12" s="75">
        <v>0</v>
      </c>
      <c r="J12" s="75">
        <f t="shared" si="0"/>
        <v>615994</v>
      </c>
      <c r="K12" s="78">
        <f t="shared" si="1"/>
        <v>15.928333333333333</v>
      </c>
      <c r="L12" s="89">
        <f>100*F12/B12</f>
        <v>15.928333333333333</v>
      </c>
    </row>
    <row r="13" spans="1:12" s="67" customFormat="1" ht="18.75" customHeight="1" x14ac:dyDescent="0.2">
      <c r="A13" s="80" t="s">
        <v>22</v>
      </c>
      <c r="B13" s="91">
        <v>350000</v>
      </c>
      <c r="C13" s="75">
        <v>521554</v>
      </c>
      <c r="D13" s="76">
        <v>36390</v>
      </c>
      <c r="E13" s="75"/>
      <c r="F13" s="75">
        <f>D13-E13</f>
        <v>36390</v>
      </c>
      <c r="G13" s="75">
        <v>1385</v>
      </c>
      <c r="H13" s="75">
        <v>38800</v>
      </c>
      <c r="I13" s="75">
        <v>0</v>
      </c>
      <c r="J13" s="75">
        <f t="shared" si="0"/>
        <v>517759</v>
      </c>
      <c r="K13" s="78">
        <f t="shared" si="1"/>
        <v>10.397142857142857</v>
      </c>
      <c r="L13" s="89">
        <f>100*F13/F19</f>
        <v>4.7239494761985119</v>
      </c>
    </row>
    <row r="14" spans="1:12" s="67" customFormat="1" ht="18.75" customHeight="1" x14ac:dyDescent="0.2">
      <c r="A14" s="73" t="s">
        <v>23</v>
      </c>
      <c r="B14" s="63">
        <v>350000</v>
      </c>
      <c r="C14" s="75">
        <v>517759</v>
      </c>
      <c r="D14" s="76">
        <v>91195</v>
      </c>
      <c r="E14" s="75"/>
      <c r="F14" s="75">
        <f t="shared" ref="F14:F18" si="2">D14-E14</f>
        <v>91195</v>
      </c>
      <c r="G14" s="75">
        <v>595</v>
      </c>
      <c r="H14" s="75">
        <v>34320</v>
      </c>
      <c r="I14" s="77">
        <v>0</v>
      </c>
      <c r="J14" s="75">
        <f t="shared" si="0"/>
        <v>574039</v>
      </c>
      <c r="K14" s="78">
        <f t="shared" si="1"/>
        <v>26.055714285714284</v>
      </c>
      <c r="L14" s="89">
        <f>F14*100/F19</f>
        <v>11.838432879415315</v>
      </c>
    </row>
    <row r="15" spans="1:12" s="67" customFormat="1" ht="18.75" customHeight="1" x14ac:dyDescent="0.2">
      <c r="A15" s="83" t="s">
        <v>24</v>
      </c>
      <c r="B15" s="63">
        <v>350000</v>
      </c>
      <c r="C15" s="75">
        <v>574039</v>
      </c>
      <c r="D15" s="76">
        <v>99040</v>
      </c>
      <c r="E15" s="75"/>
      <c r="F15" s="75">
        <f t="shared" si="2"/>
        <v>99040</v>
      </c>
      <c r="G15" s="75">
        <v>486</v>
      </c>
      <c r="H15" s="75">
        <v>36320</v>
      </c>
      <c r="I15" s="75">
        <v>0</v>
      </c>
      <c r="J15" s="75">
        <f t="shared" si="0"/>
        <v>636273</v>
      </c>
      <c r="K15" s="78">
        <f t="shared" si="1"/>
        <v>28.297142857142855</v>
      </c>
      <c r="L15" s="89">
        <f>F15*100/F19</f>
        <v>12.856827593369076</v>
      </c>
    </row>
    <row r="16" spans="1:12" s="67" customFormat="1" ht="18.75" customHeight="1" x14ac:dyDescent="0.2">
      <c r="A16" s="74" t="s">
        <v>25</v>
      </c>
      <c r="B16" s="63">
        <v>250000</v>
      </c>
      <c r="C16" s="75">
        <v>636273</v>
      </c>
      <c r="D16" s="76">
        <v>53055</v>
      </c>
      <c r="E16" s="75"/>
      <c r="F16" s="75">
        <f t="shared" si="2"/>
        <v>53055</v>
      </c>
      <c r="G16" s="75">
        <v>470</v>
      </c>
      <c r="H16" s="75">
        <v>40230</v>
      </c>
      <c r="I16" s="75">
        <v>0</v>
      </c>
      <c r="J16" s="75">
        <f t="shared" si="0"/>
        <v>648628</v>
      </c>
      <c r="K16" s="78">
        <f t="shared" si="1"/>
        <v>21.222000000000001</v>
      </c>
      <c r="L16" s="89">
        <f>F16*100/F19</f>
        <v>6.8873080368153907</v>
      </c>
    </row>
    <row r="17" spans="1:12" s="67" customFormat="1" ht="18.75" customHeight="1" x14ac:dyDescent="0.2">
      <c r="A17" s="74" t="s">
        <v>26</v>
      </c>
      <c r="B17" s="63">
        <v>250000</v>
      </c>
      <c r="C17" s="75">
        <v>648628</v>
      </c>
      <c r="D17" s="76">
        <v>29610</v>
      </c>
      <c r="E17" s="75">
        <v>0</v>
      </c>
      <c r="F17" s="75">
        <f t="shared" si="2"/>
        <v>29610</v>
      </c>
      <c r="G17" s="75">
        <v>200</v>
      </c>
      <c r="H17" s="75">
        <v>33650</v>
      </c>
      <c r="I17" s="75">
        <v>0</v>
      </c>
      <c r="J17" s="75">
        <f t="shared" si="0"/>
        <v>644388</v>
      </c>
      <c r="K17" s="78">
        <f t="shared" si="1"/>
        <v>11.843999999999999</v>
      </c>
      <c r="L17" s="89">
        <f>F17*100/F19</f>
        <v>3.8438071995118976</v>
      </c>
    </row>
    <row r="18" spans="1:12" s="67" customFormat="1" ht="18.75" customHeight="1" x14ac:dyDescent="0.2">
      <c r="A18" s="74" t="s">
        <v>27</v>
      </c>
      <c r="B18" s="63">
        <v>250000</v>
      </c>
      <c r="C18" s="75">
        <v>644388</v>
      </c>
      <c r="D18" s="76">
        <v>34715</v>
      </c>
      <c r="E18" s="75">
        <v>2300</v>
      </c>
      <c r="F18" s="75">
        <f t="shared" si="2"/>
        <v>32415</v>
      </c>
      <c r="G18" s="75">
        <v>664</v>
      </c>
      <c r="H18" s="75">
        <v>122730</v>
      </c>
      <c r="I18" s="75">
        <v>0</v>
      </c>
      <c r="J18" s="75">
        <f t="shared" si="0"/>
        <v>553409</v>
      </c>
      <c r="K18" s="78">
        <f t="shared" si="1"/>
        <v>12.965999999999999</v>
      </c>
      <c r="L18" s="89"/>
    </row>
    <row r="19" spans="1:12" s="67" customFormat="1" ht="18.75" customHeight="1" x14ac:dyDescent="0.2">
      <c r="A19" s="32" t="s">
        <v>14</v>
      </c>
      <c r="B19" s="32">
        <f>SUM(B7:B18)</f>
        <v>3300000</v>
      </c>
      <c r="C19" s="32"/>
      <c r="D19" s="84">
        <f>SUM(D7:D18)</f>
        <v>858930</v>
      </c>
      <c r="E19" s="32">
        <f>SUM(E7:E18)</f>
        <v>88600</v>
      </c>
      <c r="F19" s="32">
        <f>SUM(F7:F18)</f>
        <v>770330</v>
      </c>
      <c r="G19" s="32">
        <f>SUM(G7:G18)</f>
        <v>25101</v>
      </c>
      <c r="H19" s="32">
        <f>SUM(H7:H18)</f>
        <v>704895</v>
      </c>
      <c r="I19" s="32">
        <v>0</v>
      </c>
      <c r="J19" s="32"/>
      <c r="K19" s="93">
        <f>F19*100/B19</f>
        <v>23.343333333333334</v>
      </c>
      <c r="L19" s="93"/>
    </row>
    <row r="21" spans="1:12" s="119" customFormat="1" ht="14.25" x14ac:dyDescent="0.2">
      <c r="A21" s="118" t="s">
        <v>48</v>
      </c>
      <c r="B21" s="29"/>
      <c r="C21" s="29"/>
      <c r="D21" s="106">
        <f>F19/12</f>
        <v>64194.166666666664</v>
      </c>
      <c r="E21" s="29"/>
      <c r="F21" s="120"/>
      <c r="G21" s="120"/>
      <c r="H21" s="120"/>
      <c r="I21" s="120"/>
      <c r="J21" s="121"/>
      <c r="K21" s="120"/>
      <c r="L21" s="120"/>
    </row>
    <row r="22" spans="1:12" s="119" customFormat="1" ht="14.25" x14ac:dyDescent="0.2">
      <c r="A22" s="118" t="s">
        <v>47</v>
      </c>
      <c r="B22" s="29"/>
      <c r="C22" s="29"/>
      <c r="D22" s="106">
        <f>B19/12</f>
        <v>275000</v>
      </c>
      <c r="E22" s="29"/>
      <c r="J22" s="121"/>
    </row>
    <row r="23" spans="1:12" s="29" customFormat="1" ht="14.25" x14ac:dyDescent="0.2">
      <c r="A23" s="118" t="s">
        <v>45</v>
      </c>
      <c r="D23" s="106">
        <f>H19/12</f>
        <v>58741.25</v>
      </c>
      <c r="J23" s="122"/>
    </row>
    <row r="24" spans="1:12" s="119" customFormat="1" ht="14.25" x14ac:dyDescent="0.2">
      <c r="A24" s="118" t="s">
        <v>46</v>
      </c>
      <c r="B24" s="29"/>
      <c r="C24" s="29"/>
      <c r="D24" s="107">
        <v>0.2334</v>
      </c>
      <c r="E24" s="29"/>
      <c r="J24" s="121"/>
    </row>
    <row r="25" spans="1:12" s="119" customFormat="1" ht="14.25" x14ac:dyDescent="0.2">
      <c r="A25" s="118" t="s">
        <v>49</v>
      </c>
      <c r="B25" s="29"/>
      <c r="C25" s="29"/>
      <c r="D25" s="107">
        <v>0.76659999999999995</v>
      </c>
      <c r="E25" s="29"/>
    </row>
    <row r="26" spans="1:12" s="29" customFormat="1" ht="14.25" x14ac:dyDescent="0.2"/>
    <row r="27" spans="1:12" s="29" customFormat="1" ht="14.25" x14ac:dyDescent="0.2">
      <c r="J27" s="117" t="s">
        <v>69</v>
      </c>
    </row>
    <row r="28" spans="1:12" s="29" customFormat="1" ht="14.25" x14ac:dyDescent="0.2">
      <c r="J28" s="117" t="s">
        <v>70</v>
      </c>
    </row>
    <row r="29" spans="1:12" s="29" customFormat="1" ht="14.25" x14ac:dyDescent="0.2"/>
  </sheetData>
  <mergeCells count="3">
    <mergeCell ref="A1:L1"/>
    <mergeCell ref="A2:L2"/>
    <mergeCell ref="A3:L3"/>
  </mergeCells>
  <pageMargins left="0.25" right="0" top="0.75" bottom="0.75" header="0.3" footer="0.3"/>
  <pageSetup paperSize="9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AA3CD-454D-4557-960D-3BE4CE9CB3D4}">
  <dimension ref="A1:L29"/>
  <sheetViews>
    <sheetView view="pageLayout" topLeftCell="A4" zoomScaleNormal="110" workbookViewId="0">
      <selection activeCell="J28" sqref="J28"/>
    </sheetView>
  </sheetViews>
  <sheetFormatPr defaultRowHeight="15" x14ac:dyDescent="0.25"/>
  <cols>
    <col min="1" max="1" width="11.85546875" customWidth="1"/>
    <col min="2" max="2" width="13.85546875" customWidth="1"/>
    <col min="3" max="3" width="13" customWidth="1"/>
    <col min="4" max="4" width="12.42578125" bestFit="1" customWidth="1"/>
    <col min="5" max="5" width="10.28515625" customWidth="1"/>
    <col min="6" max="6" width="12.42578125" bestFit="1" customWidth="1"/>
    <col min="7" max="7" width="10.28515625" customWidth="1"/>
    <col min="8" max="8" width="11.5703125" customWidth="1"/>
    <col min="9" max="9" width="9.42578125" customWidth="1"/>
    <col min="10" max="10" width="11.85546875" customWidth="1"/>
    <col min="11" max="11" width="13.5703125" customWidth="1"/>
    <col min="12" max="12" width="11.5703125" customWidth="1"/>
  </cols>
  <sheetData>
    <row r="1" spans="1:12" ht="25.5" x14ac:dyDescent="0.35">
      <c r="A1" s="138" t="s">
        <v>15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</row>
    <row r="2" spans="1:12" ht="23.25" x14ac:dyDescent="0.35">
      <c r="A2" s="133" t="s">
        <v>43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</row>
    <row r="3" spans="1:12" ht="18.75" x14ac:dyDescent="0.25">
      <c r="A3" s="129" t="s">
        <v>44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</row>
    <row r="4" spans="1:12" x14ac:dyDescent="0.25">
      <c r="A4" s="1"/>
      <c r="B4" s="1"/>
      <c r="C4" s="1"/>
      <c r="E4" s="26"/>
      <c r="F4" s="26"/>
      <c r="H4" s="26"/>
      <c r="I4" s="25" t="s">
        <v>57</v>
      </c>
      <c r="J4" s="1"/>
      <c r="K4" s="1"/>
      <c r="L4" s="1"/>
    </row>
    <row r="5" spans="1:12" s="67" customFormat="1" ht="16.5" customHeight="1" x14ac:dyDescent="0.2">
      <c r="A5" s="62" t="s">
        <v>1</v>
      </c>
      <c r="B5" s="63" t="s">
        <v>2</v>
      </c>
      <c r="C5" s="64" t="s">
        <v>3</v>
      </c>
      <c r="D5" s="63" t="s">
        <v>4</v>
      </c>
      <c r="E5" s="63" t="s">
        <v>5</v>
      </c>
      <c r="F5" s="63" t="s">
        <v>6</v>
      </c>
      <c r="G5" s="64" t="s">
        <v>7</v>
      </c>
      <c r="H5" s="63" t="s">
        <v>8</v>
      </c>
      <c r="I5" s="63" t="s">
        <v>9</v>
      </c>
      <c r="J5" s="64" t="s">
        <v>10</v>
      </c>
      <c r="K5" s="65" t="s">
        <v>2</v>
      </c>
      <c r="L5" s="66" t="s">
        <v>11</v>
      </c>
    </row>
    <row r="6" spans="1:12" s="67" customFormat="1" ht="16.5" customHeight="1" x14ac:dyDescent="0.2">
      <c r="A6" s="68"/>
      <c r="B6" s="69"/>
      <c r="C6" s="70"/>
      <c r="D6" s="69"/>
      <c r="E6" s="69"/>
      <c r="F6" s="69"/>
      <c r="G6" s="70"/>
      <c r="H6" s="69"/>
      <c r="I6" s="69"/>
      <c r="J6" s="69"/>
      <c r="K6" s="71" t="s">
        <v>12</v>
      </c>
      <c r="L6" s="72" t="s">
        <v>13</v>
      </c>
    </row>
    <row r="7" spans="1:12" s="67" customFormat="1" ht="16.5" customHeight="1" x14ac:dyDescent="0.2">
      <c r="A7" s="73" t="s">
        <v>16</v>
      </c>
      <c r="B7" s="63">
        <v>200000</v>
      </c>
      <c r="C7" s="75"/>
      <c r="D7" s="76"/>
      <c r="E7" s="75"/>
      <c r="F7" s="75"/>
      <c r="G7" s="75"/>
      <c r="H7" s="75"/>
      <c r="I7" s="77"/>
      <c r="J7" s="75"/>
      <c r="K7" s="78"/>
      <c r="L7" s="89"/>
    </row>
    <row r="8" spans="1:12" s="67" customFormat="1" ht="16.5" customHeight="1" x14ac:dyDescent="0.2">
      <c r="A8" s="80" t="s">
        <v>17</v>
      </c>
      <c r="B8" s="91">
        <v>200000</v>
      </c>
      <c r="C8" s="75"/>
      <c r="D8" s="76"/>
      <c r="E8" s="81"/>
      <c r="F8" s="75"/>
      <c r="G8" s="75"/>
      <c r="H8" s="75"/>
      <c r="I8" s="75"/>
      <c r="J8" s="82"/>
      <c r="K8" s="89"/>
      <c r="L8" s="89"/>
    </row>
    <row r="9" spans="1:12" s="67" customFormat="1" ht="16.5" customHeight="1" x14ac:dyDescent="0.2">
      <c r="A9" s="80" t="s">
        <v>18</v>
      </c>
      <c r="B9" s="91">
        <v>200000</v>
      </c>
      <c r="C9" s="75"/>
      <c r="D9" s="76"/>
      <c r="E9" s="75"/>
      <c r="F9" s="75"/>
      <c r="G9" s="75"/>
      <c r="H9" s="75"/>
      <c r="I9" s="75"/>
      <c r="J9" s="75"/>
      <c r="K9" s="89"/>
      <c r="L9" s="89"/>
    </row>
    <row r="10" spans="1:12" s="67" customFormat="1" ht="16.5" customHeight="1" x14ac:dyDescent="0.2">
      <c r="A10" s="80" t="s">
        <v>19</v>
      </c>
      <c r="B10" s="91">
        <v>300000</v>
      </c>
      <c r="C10" s="75"/>
      <c r="D10" s="76"/>
      <c r="E10" s="75"/>
      <c r="F10" s="75"/>
      <c r="G10" s="75"/>
      <c r="H10" s="75"/>
      <c r="I10" s="75"/>
      <c r="J10" s="75"/>
      <c r="K10" s="89"/>
      <c r="L10" s="89"/>
    </row>
    <row r="11" spans="1:12" s="67" customFormat="1" ht="16.5" customHeight="1" x14ac:dyDescent="0.2">
      <c r="A11" s="73" t="s">
        <v>28</v>
      </c>
      <c r="B11" s="63">
        <v>300000</v>
      </c>
      <c r="C11" s="75"/>
      <c r="D11" s="76"/>
      <c r="E11" s="75"/>
      <c r="F11" s="75"/>
      <c r="G11" s="75"/>
      <c r="H11" s="75"/>
      <c r="I11" s="75"/>
      <c r="J11" s="82"/>
      <c r="K11" s="89"/>
      <c r="L11" s="89"/>
    </row>
    <row r="12" spans="1:12" s="67" customFormat="1" ht="16.5" customHeight="1" x14ac:dyDescent="0.2">
      <c r="A12" s="80" t="s">
        <v>21</v>
      </c>
      <c r="B12" s="91">
        <v>300000</v>
      </c>
      <c r="C12" s="75"/>
      <c r="D12" s="76"/>
      <c r="E12" s="75"/>
      <c r="F12" s="75"/>
      <c r="G12" s="75"/>
      <c r="H12" s="75"/>
      <c r="I12" s="75"/>
      <c r="J12" s="75"/>
      <c r="K12" s="89"/>
      <c r="L12" s="89"/>
    </row>
    <row r="13" spans="1:12" s="67" customFormat="1" ht="16.5" customHeight="1" x14ac:dyDescent="0.2">
      <c r="A13" s="80" t="s">
        <v>22</v>
      </c>
      <c r="B13" s="91">
        <v>350000</v>
      </c>
      <c r="C13" s="75">
        <v>11920</v>
      </c>
      <c r="D13" s="76">
        <v>176645</v>
      </c>
      <c r="E13" s="75">
        <v>0</v>
      </c>
      <c r="F13" s="75">
        <f>D13-E13</f>
        <v>176645</v>
      </c>
      <c r="G13" s="75">
        <v>3915</v>
      </c>
      <c r="H13" s="75">
        <v>119280</v>
      </c>
      <c r="I13" s="75">
        <v>0</v>
      </c>
      <c r="J13" s="75">
        <f>C13+D13-E13-G13-H13</f>
        <v>65370</v>
      </c>
      <c r="K13" s="89">
        <f>F13*100/B13</f>
        <v>50.47</v>
      </c>
      <c r="L13" s="89">
        <f>100*F13/F19</f>
        <v>14.648273917622376</v>
      </c>
    </row>
    <row r="14" spans="1:12" s="67" customFormat="1" ht="16.5" customHeight="1" x14ac:dyDescent="0.2">
      <c r="A14" s="73" t="s">
        <v>23</v>
      </c>
      <c r="B14" s="63">
        <v>350000</v>
      </c>
      <c r="C14" s="75">
        <v>65370</v>
      </c>
      <c r="D14" s="76">
        <v>250545</v>
      </c>
      <c r="E14" s="75">
        <v>0</v>
      </c>
      <c r="F14" s="75">
        <f t="shared" ref="F14:F18" si="0">D14-E14</f>
        <v>250545</v>
      </c>
      <c r="G14" s="75">
        <v>5787</v>
      </c>
      <c r="H14" s="75">
        <v>139990</v>
      </c>
      <c r="I14" s="77">
        <v>0</v>
      </c>
      <c r="J14" s="75">
        <f t="shared" ref="J14:J16" si="1">C14+D14-E14-G14-H14</f>
        <v>170138</v>
      </c>
      <c r="K14" s="89">
        <f t="shared" ref="K14:K16" si="2">F14*100/B14</f>
        <v>71.584285714285713</v>
      </c>
      <c r="L14" s="89">
        <f>F14*100/F19</f>
        <v>20.776426101450358</v>
      </c>
    </row>
    <row r="15" spans="1:12" s="67" customFormat="1" ht="16.5" customHeight="1" x14ac:dyDescent="0.2">
      <c r="A15" s="83" t="s">
        <v>24</v>
      </c>
      <c r="B15" s="63">
        <v>350000</v>
      </c>
      <c r="C15" s="75">
        <v>170138</v>
      </c>
      <c r="D15" s="76">
        <v>241310</v>
      </c>
      <c r="E15" s="75">
        <v>0</v>
      </c>
      <c r="F15" s="75">
        <f t="shared" si="0"/>
        <v>241310</v>
      </c>
      <c r="G15" s="75">
        <v>2021</v>
      </c>
      <c r="H15" s="75">
        <v>100400</v>
      </c>
      <c r="I15" s="75">
        <v>0</v>
      </c>
      <c r="J15" s="75">
        <f t="shared" si="1"/>
        <v>309027</v>
      </c>
      <c r="K15" s="89">
        <f t="shared" si="2"/>
        <v>68.945714285714288</v>
      </c>
      <c r="L15" s="89">
        <f>F15*100/F19</f>
        <v>20.010614390792018</v>
      </c>
    </row>
    <row r="16" spans="1:12" s="67" customFormat="1" ht="16.5" customHeight="1" x14ac:dyDescent="0.2">
      <c r="A16" s="74" t="s">
        <v>25</v>
      </c>
      <c r="B16" s="63">
        <v>250000</v>
      </c>
      <c r="C16" s="75">
        <v>309027</v>
      </c>
      <c r="D16" s="76">
        <v>285020</v>
      </c>
      <c r="E16" s="75">
        <v>0</v>
      </c>
      <c r="F16" s="75">
        <f t="shared" si="0"/>
        <v>285020</v>
      </c>
      <c r="G16" s="75">
        <v>2800</v>
      </c>
      <c r="H16" s="75">
        <v>158300</v>
      </c>
      <c r="I16" s="75">
        <v>0</v>
      </c>
      <c r="J16" s="75">
        <f t="shared" si="1"/>
        <v>432947</v>
      </c>
      <c r="K16" s="89">
        <f t="shared" si="2"/>
        <v>114.008</v>
      </c>
      <c r="L16" s="89">
        <f>F16*100/F19</f>
        <v>23.635262996409352</v>
      </c>
    </row>
    <row r="17" spans="1:12" s="67" customFormat="1" ht="16.5" customHeight="1" x14ac:dyDescent="0.2">
      <c r="A17" s="74" t="s">
        <v>26</v>
      </c>
      <c r="B17" s="63">
        <v>250000</v>
      </c>
      <c r="C17" s="75">
        <v>432947</v>
      </c>
      <c r="D17" s="76">
        <v>187460</v>
      </c>
      <c r="E17" s="75">
        <v>0</v>
      </c>
      <c r="F17" s="75">
        <f t="shared" si="0"/>
        <v>187460</v>
      </c>
      <c r="G17" s="75">
        <v>4458</v>
      </c>
      <c r="H17" s="75">
        <v>91000</v>
      </c>
      <c r="I17" s="75">
        <v>0</v>
      </c>
      <c r="J17" s="75">
        <f t="shared" ref="J17:J18" si="3">C17+D17-E17-G17-H17</f>
        <v>524949</v>
      </c>
      <c r="K17" s="89">
        <f t="shared" ref="K17:K18" si="4">F17*100/B17</f>
        <v>74.983999999999995</v>
      </c>
      <c r="L17" s="89">
        <f>F17*100/F19</f>
        <v>15.545107014619665</v>
      </c>
    </row>
    <row r="18" spans="1:12" s="67" customFormat="1" ht="16.5" customHeight="1" x14ac:dyDescent="0.2">
      <c r="A18" s="74" t="s">
        <v>27</v>
      </c>
      <c r="B18" s="63">
        <v>250000</v>
      </c>
      <c r="C18" s="75">
        <v>524949</v>
      </c>
      <c r="D18" s="76">
        <v>64930</v>
      </c>
      <c r="E18" s="75">
        <v>0</v>
      </c>
      <c r="F18" s="75">
        <f t="shared" si="0"/>
        <v>64930</v>
      </c>
      <c r="G18" s="75">
        <v>2050</v>
      </c>
      <c r="H18" s="75">
        <v>125000</v>
      </c>
      <c r="I18" s="75">
        <v>0</v>
      </c>
      <c r="J18" s="75">
        <f t="shared" si="3"/>
        <v>462829</v>
      </c>
      <c r="K18" s="89">
        <f t="shared" si="4"/>
        <v>25.972000000000001</v>
      </c>
      <c r="L18" s="89">
        <f>F18*100/F19</f>
        <v>5.3843155791062349</v>
      </c>
    </row>
    <row r="19" spans="1:12" s="67" customFormat="1" ht="16.5" customHeight="1" x14ac:dyDescent="0.2">
      <c r="A19" s="32" t="s">
        <v>14</v>
      </c>
      <c r="B19" s="32">
        <f>SUM(B7:B18)</f>
        <v>3300000</v>
      </c>
      <c r="C19" s="32"/>
      <c r="D19" s="84">
        <f>SUM(D7:D18)</f>
        <v>1205910</v>
      </c>
      <c r="E19" s="32">
        <f>SUM(E13:E18)</f>
        <v>0</v>
      </c>
      <c r="F19" s="32">
        <f>SUM(F7:F18)</f>
        <v>1205910</v>
      </c>
      <c r="G19" s="32">
        <f>SUM(G7:G18)</f>
        <v>21031</v>
      </c>
      <c r="H19" s="32">
        <f>SUM(H7:H18)</f>
        <v>733970</v>
      </c>
      <c r="I19" s="32">
        <f>SUM(I13:I18)</f>
        <v>0</v>
      </c>
      <c r="J19" s="32"/>
      <c r="K19" s="93">
        <f>(D19-E19)*100/B19</f>
        <v>36.542727272727269</v>
      </c>
      <c r="L19" s="93"/>
    </row>
    <row r="20" spans="1:12" s="67" customFormat="1" ht="12" x14ac:dyDescent="0.2"/>
    <row r="21" spans="1:12" s="94" customFormat="1" ht="18.75" customHeight="1" x14ac:dyDescent="0.2">
      <c r="A21" s="118" t="s">
        <v>48</v>
      </c>
      <c r="B21" s="29"/>
      <c r="C21" s="29"/>
      <c r="D21" s="106">
        <f>F19/6</f>
        <v>200985</v>
      </c>
      <c r="E21" s="29"/>
      <c r="F21" s="120"/>
      <c r="G21" s="120"/>
      <c r="H21" s="120"/>
      <c r="I21" s="95"/>
      <c r="J21" s="101"/>
      <c r="K21" s="95"/>
      <c r="L21" s="95"/>
    </row>
    <row r="22" spans="1:12" s="94" customFormat="1" ht="18.75" customHeight="1" x14ac:dyDescent="0.2">
      <c r="A22" s="118" t="s">
        <v>47</v>
      </c>
      <c r="B22" s="29"/>
      <c r="C22" s="29"/>
      <c r="D22" s="106">
        <f>B19/12</f>
        <v>275000</v>
      </c>
      <c r="E22" s="29"/>
      <c r="F22" s="125"/>
      <c r="G22" s="125"/>
      <c r="H22" s="125"/>
      <c r="J22" s="101"/>
    </row>
    <row r="23" spans="1:12" ht="18.75" customHeight="1" x14ac:dyDescent="0.25">
      <c r="A23" s="118" t="s">
        <v>45</v>
      </c>
      <c r="B23" s="29"/>
      <c r="C23" s="29"/>
      <c r="D23" s="106">
        <f>H19/6</f>
        <v>122328.33333333333</v>
      </c>
      <c r="E23" s="29"/>
      <c r="F23" s="126"/>
      <c r="G23" s="126"/>
      <c r="H23" s="126"/>
      <c r="J23" s="104"/>
    </row>
    <row r="24" spans="1:12" s="94" customFormat="1" ht="18.75" customHeight="1" x14ac:dyDescent="0.2">
      <c r="A24" s="118" t="s">
        <v>46</v>
      </c>
      <c r="B24" s="29"/>
      <c r="C24" s="29"/>
      <c r="D24" s="107">
        <v>0.3654</v>
      </c>
      <c r="E24" s="29"/>
      <c r="F24" s="125"/>
      <c r="G24" s="125"/>
      <c r="H24" s="125"/>
      <c r="J24" s="101"/>
    </row>
    <row r="25" spans="1:12" s="94" customFormat="1" ht="18.75" customHeight="1" x14ac:dyDescent="0.2">
      <c r="A25" s="118" t="s">
        <v>49</v>
      </c>
      <c r="B25" s="29"/>
      <c r="C25" s="29"/>
      <c r="D25" s="107">
        <v>0.63460000000000005</v>
      </c>
      <c r="E25" s="29"/>
      <c r="F25" s="125"/>
      <c r="G25" s="125"/>
      <c r="H25" s="125"/>
    </row>
    <row r="28" spans="1:12" x14ac:dyDescent="0.25">
      <c r="J28" s="117" t="s">
        <v>69</v>
      </c>
    </row>
    <row r="29" spans="1:12" x14ac:dyDescent="0.25">
      <c r="J29" s="117" t="s">
        <v>70</v>
      </c>
    </row>
  </sheetData>
  <mergeCells count="3">
    <mergeCell ref="A1:L1"/>
    <mergeCell ref="A2:L2"/>
    <mergeCell ref="A3:L3"/>
  </mergeCells>
  <pageMargins left="0.25" right="0" top="0.75" bottom="0.75" header="0.3" footer="0.3"/>
  <pageSetup paperSize="9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1"/>
  <sheetViews>
    <sheetView view="pageLayout" topLeftCell="A14" zoomScaleNormal="115" workbookViewId="0">
      <selection activeCell="A26" sqref="A26"/>
    </sheetView>
  </sheetViews>
  <sheetFormatPr defaultRowHeight="14.25" x14ac:dyDescent="0.2"/>
  <cols>
    <col min="1" max="1" width="9.85546875" style="29" customWidth="1"/>
    <col min="2" max="3" width="12.140625" style="29" customWidth="1"/>
    <col min="4" max="4" width="10.85546875" style="29" customWidth="1"/>
    <col min="5" max="5" width="10.140625" style="29" customWidth="1"/>
    <col min="6" max="6" width="13.42578125" style="29" customWidth="1"/>
    <col min="7" max="7" width="10.7109375" style="29" customWidth="1"/>
    <col min="8" max="8" width="12.28515625" style="29" customWidth="1"/>
    <col min="9" max="9" width="7.7109375" style="29" customWidth="1"/>
    <col min="10" max="11" width="12.7109375" style="29" customWidth="1"/>
    <col min="12" max="12" width="9.85546875" style="29" customWidth="1"/>
    <col min="13" max="16384" width="9.140625" style="29"/>
  </cols>
  <sheetData>
    <row r="1" spans="1:12" ht="23.25" x14ac:dyDescent="0.35">
      <c r="A1" s="140" t="s">
        <v>15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</row>
    <row r="2" spans="1:12" ht="20.25" x14ac:dyDescent="0.3">
      <c r="A2" s="128" t="s">
        <v>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</row>
    <row r="3" spans="1:12" ht="18.75" x14ac:dyDescent="0.25">
      <c r="A3" s="129" t="s">
        <v>36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</row>
    <row r="4" spans="1:12" x14ac:dyDescent="0.2">
      <c r="A4" s="1"/>
      <c r="B4" s="1"/>
      <c r="C4" s="1"/>
      <c r="E4" s="26"/>
      <c r="F4" s="26"/>
      <c r="G4" s="26"/>
      <c r="H4" s="25" t="s">
        <v>71</v>
      </c>
      <c r="I4" s="1"/>
      <c r="J4" s="1"/>
      <c r="K4" s="1"/>
      <c r="L4" s="1"/>
    </row>
    <row r="5" spans="1:12" ht="17.25" customHeight="1" x14ac:dyDescent="0.2">
      <c r="A5" s="2" t="s">
        <v>1</v>
      </c>
      <c r="B5" s="3" t="s">
        <v>2</v>
      </c>
      <c r="C5" s="4" t="s">
        <v>3</v>
      </c>
      <c r="D5" s="3" t="s">
        <v>4</v>
      </c>
      <c r="E5" s="3" t="s">
        <v>5</v>
      </c>
      <c r="F5" s="3" t="s">
        <v>6</v>
      </c>
      <c r="G5" s="4" t="s">
        <v>7</v>
      </c>
      <c r="H5" s="3" t="s">
        <v>8</v>
      </c>
      <c r="I5" s="3" t="s">
        <v>9</v>
      </c>
      <c r="J5" s="4" t="s">
        <v>10</v>
      </c>
      <c r="K5" s="5" t="s">
        <v>2</v>
      </c>
      <c r="L5" s="6" t="s">
        <v>11</v>
      </c>
    </row>
    <row r="6" spans="1:12" ht="17.25" customHeight="1" x14ac:dyDescent="0.2">
      <c r="A6" s="7"/>
      <c r="B6" s="8"/>
      <c r="C6" s="9"/>
      <c r="D6" s="8"/>
      <c r="E6" s="8"/>
      <c r="F6" s="8"/>
      <c r="G6" s="9"/>
      <c r="H6" s="8"/>
      <c r="I6" s="8"/>
      <c r="J6" s="9"/>
      <c r="K6" s="10" t="s">
        <v>12</v>
      </c>
      <c r="L6" s="11" t="s">
        <v>13</v>
      </c>
    </row>
    <row r="7" spans="1:12" ht="17.25" customHeight="1" x14ac:dyDescent="0.2">
      <c r="A7" s="23" t="s">
        <v>16</v>
      </c>
      <c r="B7" s="3">
        <v>450000</v>
      </c>
      <c r="C7" s="12">
        <v>160819</v>
      </c>
      <c r="D7" s="13">
        <v>301655</v>
      </c>
      <c r="E7" s="12"/>
      <c r="F7" s="12">
        <v>301655</v>
      </c>
      <c r="G7" s="12">
        <v>11213</v>
      </c>
      <c r="H7" s="12">
        <v>19396</v>
      </c>
      <c r="I7" s="17"/>
      <c r="J7" s="12">
        <f>C7+D7-E7-G7-H7-I7</f>
        <v>431865</v>
      </c>
      <c r="K7" s="18">
        <f>F7*100/B7</f>
        <v>67.034444444444446</v>
      </c>
      <c r="L7" s="15">
        <f>100*F7/F19</f>
        <v>11.162518243097226</v>
      </c>
    </row>
    <row r="8" spans="1:12" ht="17.25" customHeight="1" x14ac:dyDescent="0.2">
      <c r="A8" s="24" t="s">
        <v>17</v>
      </c>
      <c r="B8" s="27">
        <v>450000</v>
      </c>
      <c r="C8" s="12">
        <v>431865</v>
      </c>
      <c r="D8" s="13">
        <v>414150</v>
      </c>
      <c r="E8" s="14"/>
      <c r="F8" s="12">
        <v>414150</v>
      </c>
      <c r="G8" s="12">
        <v>13300</v>
      </c>
      <c r="H8" s="12">
        <v>135662</v>
      </c>
      <c r="I8" s="12"/>
      <c r="J8" s="12">
        <f t="shared" ref="J8:J18" si="0">C8+D8-E8-G8-H8-I8</f>
        <v>697053</v>
      </c>
      <c r="K8" s="18">
        <f t="shared" ref="K8:K18" si="1">F8*100/B8</f>
        <v>92.033333333333331</v>
      </c>
      <c r="L8" s="15">
        <f>100*F8/F19</f>
        <v>15.325311797844281</v>
      </c>
    </row>
    <row r="9" spans="1:12" ht="17.25" customHeight="1" x14ac:dyDescent="0.2">
      <c r="A9" s="24" t="s">
        <v>18</v>
      </c>
      <c r="B9" s="27">
        <v>450000</v>
      </c>
      <c r="C9" s="12">
        <v>697053</v>
      </c>
      <c r="D9" s="13">
        <v>395220</v>
      </c>
      <c r="E9" s="12"/>
      <c r="F9" s="12">
        <v>395220</v>
      </c>
      <c r="G9" s="12">
        <v>9247</v>
      </c>
      <c r="H9" s="12">
        <v>198149</v>
      </c>
      <c r="I9" s="12"/>
      <c r="J9" s="12">
        <f t="shared" si="0"/>
        <v>884877</v>
      </c>
      <c r="K9" s="18">
        <f t="shared" si="1"/>
        <v>87.826666666666668</v>
      </c>
      <c r="L9" s="15">
        <f>100*F9/F19</f>
        <v>14.624821269453136</v>
      </c>
    </row>
    <row r="10" spans="1:12" ht="17.25" customHeight="1" x14ac:dyDescent="0.2">
      <c r="A10" s="24" t="s">
        <v>19</v>
      </c>
      <c r="B10" s="27">
        <v>600000</v>
      </c>
      <c r="C10" s="12">
        <v>884877</v>
      </c>
      <c r="D10" s="13">
        <v>280050</v>
      </c>
      <c r="E10" s="12"/>
      <c r="F10" s="12">
        <v>280050</v>
      </c>
      <c r="G10" s="12">
        <v>9327</v>
      </c>
      <c r="H10" s="12">
        <v>161018</v>
      </c>
      <c r="I10" s="12"/>
      <c r="J10" s="12">
        <f t="shared" si="0"/>
        <v>994582</v>
      </c>
      <c r="K10" s="18">
        <f t="shared" si="1"/>
        <v>46.674999999999997</v>
      </c>
      <c r="L10" s="15">
        <f>100*F10/F19</f>
        <v>10.363041335231898</v>
      </c>
    </row>
    <row r="11" spans="1:12" ht="17.25" customHeight="1" x14ac:dyDescent="0.2">
      <c r="A11" s="23" t="s">
        <v>28</v>
      </c>
      <c r="B11" s="3">
        <v>600000</v>
      </c>
      <c r="C11" s="12">
        <v>994582</v>
      </c>
      <c r="D11" s="13">
        <v>181335</v>
      </c>
      <c r="E11" s="12"/>
      <c r="F11" s="12">
        <v>181335</v>
      </c>
      <c r="G11" s="12">
        <v>5629</v>
      </c>
      <c r="H11" s="12">
        <v>108030</v>
      </c>
      <c r="I11" s="12"/>
      <c r="J11" s="12">
        <f t="shared" si="0"/>
        <v>1062258</v>
      </c>
      <c r="K11" s="18">
        <f t="shared" si="1"/>
        <v>30.2225</v>
      </c>
      <c r="L11" s="15">
        <f>100*F11/F19</f>
        <v>6.7101664007294275</v>
      </c>
    </row>
    <row r="12" spans="1:12" ht="17.25" customHeight="1" x14ac:dyDescent="0.2">
      <c r="A12" s="24" t="s">
        <v>21</v>
      </c>
      <c r="B12" s="27">
        <v>600000</v>
      </c>
      <c r="C12" s="12">
        <v>1062258</v>
      </c>
      <c r="D12" s="13">
        <v>221045</v>
      </c>
      <c r="E12" s="12"/>
      <c r="F12" s="12">
        <v>221045</v>
      </c>
      <c r="G12" s="12">
        <v>7293</v>
      </c>
      <c r="H12" s="12">
        <v>96203</v>
      </c>
      <c r="I12" s="12"/>
      <c r="J12" s="12">
        <f t="shared" si="0"/>
        <v>1179807</v>
      </c>
      <c r="K12" s="18">
        <f t="shared" si="1"/>
        <v>36.840833333333336</v>
      </c>
      <c r="L12" s="15">
        <f>100*F12/F19</f>
        <v>8.1796053274284404</v>
      </c>
    </row>
    <row r="13" spans="1:12" ht="17.25" customHeight="1" x14ac:dyDescent="0.2">
      <c r="A13" s="24" t="s">
        <v>22</v>
      </c>
      <c r="B13" s="27">
        <v>550000</v>
      </c>
      <c r="C13" s="12">
        <v>1179806</v>
      </c>
      <c r="D13" s="13">
        <v>395675</v>
      </c>
      <c r="E13" s="12">
        <v>8549</v>
      </c>
      <c r="F13" s="12">
        <f>D13-E13</f>
        <v>387126</v>
      </c>
      <c r="G13" s="12">
        <v>15553</v>
      </c>
      <c r="H13" s="12">
        <v>231053</v>
      </c>
      <c r="I13" s="12"/>
      <c r="J13" s="12">
        <f t="shared" si="0"/>
        <v>1320326</v>
      </c>
      <c r="K13" s="18">
        <f t="shared" si="1"/>
        <v>70.386545454545455</v>
      </c>
      <c r="L13" s="15">
        <f>100*F13/F19</f>
        <v>14.325308837503959</v>
      </c>
    </row>
    <row r="14" spans="1:12" ht="17.25" customHeight="1" x14ac:dyDescent="0.2">
      <c r="A14" s="23" t="s">
        <v>23</v>
      </c>
      <c r="B14" s="3">
        <v>550000</v>
      </c>
      <c r="C14" s="12">
        <v>1320326</v>
      </c>
      <c r="D14" s="13">
        <v>197240</v>
      </c>
      <c r="E14" s="12">
        <v>8880</v>
      </c>
      <c r="F14" s="12">
        <f t="shared" ref="F14:F18" si="2">D14-E14</f>
        <v>188360</v>
      </c>
      <c r="G14" s="12">
        <v>7598</v>
      </c>
      <c r="H14" s="12">
        <v>192162</v>
      </c>
      <c r="I14" s="17"/>
      <c r="J14" s="12">
        <f t="shared" si="0"/>
        <v>1308926</v>
      </c>
      <c r="K14" s="18">
        <f t="shared" si="1"/>
        <v>34.24727272727273</v>
      </c>
      <c r="L14" s="15">
        <f>100*F14/F19</f>
        <v>6.9701212851429402</v>
      </c>
    </row>
    <row r="15" spans="1:12" ht="17.25" customHeight="1" x14ac:dyDescent="0.2">
      <c r="A15" s="22" t="s">
        <v>24</v>
      </c>
      <c r="B15" s="3">
        <v>550000</v>
      </c>
      <c r="C15" s="12">
        <v>1308926</v>
      </c>
      <c r="D15" s="13">
        <v>270715</v>
      </c>
      <c r="E15" s="12"/>
      <c r="F15" s="12">
        <f t="shared" si="2"/>
        <v>270715</v>
      </c>
      <c r="G15" s="12">
        <v>11932</v>
      </c>
      <c r="H15" s="12">
        <v>196271</v>
      </c>
      <c r="I15" s="12"/>
      <c r="J15" s="12">
        <f t="shared" si="0"/>
        <v>1371438</v>
      </c>
      <c r="K15" s="18">
        <f t="shared" si="1"/>
        <v>49.220909090909089</v>
      </c>
      <c r="L15" s="15">
        <f>100*F15/F19</f>
        <v>10.017606624057501</v>
      </c>
    </row>
    <row r="16" spans="1:12" ht="17.25" customHeight="1" x14ac:dyDescent="0.2">
      <c r="A16" s="16" t="s">
        <v>25</v>
      </c>
      <c r="B16" s="3">
        <v>400000</v>
      </c>
      <c r="C16" s="12">
        <v>1371438</v>
      </c>
      <c r="D16" s="13">
        <v>52010</v>
      </c>
      <c r="E16" s="12">
        <v>13269</v>
      </c>
      <c r="F16" s="12">
        <f t="shared" si="2"/>
        <v>38741</v>
      </c>
      <c r="G16" s="12">
        <v>11011</v>
      </c>
      <c r="H16" s="12">
        <v>104220</v>
      </c>
      <c r="I16" s="12"/>
      <c r="J16" s="12">
        <f t="shared" si="0"/>
        <v>1294948</v>
      </c>
      <c r="K16" s="18">
        <f t="shared" si="1"/>
        <v>9.6852499999999999</v>
      </c>
      <c r="L16" s="15">
        <f>100*F16/F19</f>
        <v>1.4335818045642528</v>
      </c>
    </row>
    <row r="17" spans="1:12" ht="17.25" customHeight="1" x14ac:dyDescent="0.2">
      <c r="A17" s="16" t="s">
        <v>26</v>
      </c>
      <c r="B17" s="3">
        <v>400000</v>
      </c>
      <c r="C17" s="12">
        <v>1294948</v>
      </c>
      <c r="D17" s="13">
        <v>35750</v>
      </c>
      <c r="E17" s="12">
        <v>0</v>
      </c>
      <c r="F17" s="12">
        <f t="shared" si="2"/>
        <v>35750</v>
      </c>
      <c r="G17" s="12">
        <v>1429</v>
      </c>
      <c r="H17" s="12">
        <v>94134</v>
      </c>
      <c r="I17" s="12"/>
      <c r="J17" s="12">
        <f t="shared" si="0"/>
        <v>1235135</v>
      </c>
      <c r="K17" s="18">
        <f t="shared" si="1"/>
        <v>8.9375</v>
      </c>
      <c r="L17" s="15">
        <f>100*F17/F19</f>
        <v>1.3229020808232115</v>
      </c>
    </row>
    <row r="18" spans="1:12" ht="17.25" customHeight="1" x14ac:dyDescent="0.2">
      <c r="A18" s="16" t="s">
        <v>27</v>
      </c>
      <c r="B18" s="3">
        <v>400000</v>
      </c>
      <c r="C18" s="12">
        <v>1135135</v>
      </c>
      <c r="D18" s="13">
        <v>0</v>
      </c>
      <c r="E18" s="12">
        <v>11755</v>
      </c>
      <c r="F18" s="12">
        <f t="shared" si="2"/>
        <v>-11755</v>
      </c>
      <c r="G18" s="12">
        <v>17127</v>
      </c>
      <c r="H18" s="12">
        <v>235444</v>
      </c>
      <c r="I18" s="12"/>
      <c r="J18" s="12">
        <f t="shared" si="0"/>
        <v>870809</v>
      </c>
      <c r="K18" s="18">
        <f t="shared" si="1"/>
        <v>-2.9387500000000002</v>
      </c>
      <c r="L18" s="15">
        <f>100*F18/F19</f>
        <v>-0.43498500587627553</v>
      </c>
    </row>
    <row r="19" spans="1:12" ht="17.25" customHeight="1" x14ac:dyDescent="0.2">
      <c r="A19" s="19" t="s">
        <v>14</v>
      </c>
      <c r="B19" s="19">
        <f>SUM(B7:B18)</f>
        <v>6000000</v>
      </c>
      <c r="C19" s="19"/>
      <c r="D19" s="20">
        <f>SUM(D7:D18)</f>
        <v>2744845</v>
      </c>
      <c r="E19" s="19">
        <f>SUM(E7:E18)</f>
        <v>42453</v>
      </c>
      <c r="F19" s="19">
        <f>SUM(F7:F18)</f>
        <v>2702392</v>
      </c>
      <c r="G19" s="19">
        <f>SUM(G7:G18)</f>
        <v>120659</v>
      </c>
      <c r="H19" s="19">
        <f>SUM(H7:H18)</f>
        <v>1771742</v>
      </c>
      <c r="I19" s="19"/>
      <c r="J19" s="19"/>
      <c r="K19" s="21">
        <f>(D19-E19)*100/B19</f>
        <v>45.039866666666668</v>
      </c>
      <c r="L19" s="15"/>
    </row>
    <row r="21" spans="1:12" s="119" customFormat="1" x14ac:dyDescent="0.2">
      <c r="A21" s="123" t="s">
        <v>72</v>
      </c>
      <c r="B21" s="124"/>
      <c r="C21" s="29"/>
      <c r="E21" s="29"/>
      <c r="F21" s="120"/>
      <c r="G21" s="120"/>
      <c r="H21" s="120"/>
      <c r="I21" s="120"/>
      <c r="J21" s="121"/>
      <c r="K21" s="120"/>
      <c r="L21" s="120"/>
    </row>
    <row r="22" spans="1:12" s="119" customFormat="1" x14ac:dyDescent="0.2">
      <c r="A22" s="141" t="s">
        <v>73</v>
      </c>
      <c r="B22" s="141"/>
      <c r="C22" s="29"/>
      <c r="D22" s="106">
        <f>D19/12</f>
        <v>228737.08333333334</v>
      </c>
      <c r="E22" s="29"/>
      <c r="F22" s="120"/>
      <c r="G22" s="120"/>
      <c r="H22" s="120"/>
      <c r="I22" s="120"/>
      <c r="J22" s="121"/>
      <c r="K22" s="120"/>
      <c r="L22" s="120"/>
    </row>
    <row r="23" spans="1:12" s="119" customFormat="1" x14ac:dyDescent="0.2">
      <c r="A23" s="118" t="s">
        <v>47</v>
      </c>
      <c r="B23" s="29"/>
      <c r="C23" s="29"/>
      <c r="D23" s="106">
        <f>B19/12</f>
        <v>500000</v>
      </c>
      <c r="E23" s="29"/>
      <c r="J23" s="121"/>
    </row>
    <row r="24" spans="1:12" x14ac:dyDescent="0.2">
      <c r="A24" s="118" t="s">
        <v>45</v>
      </c>
      <c r="D24" s="106">
        <f>H19/12</f>
        <v>147645.16666666666</v>
      </c>
      <c r="J24" s="122"/>
    </row>
    <row r="25" spans="1:12" s="119" customFormat="1" x14ac:dyDescent="0.2">
      <c r="A25" s="118" t="s">
        <v>46</v>
      </c>
      <c r="B25" s="29"/>
      <c r="C25" s="29"/>
      <c r="D25" s="116">
        <v>0.45040000000000002</v>
      </c>
      <c r="E25" s="29"/>
      <c r="J25" s="121"/>
    </row>
    <row r="26" spans="1:12" s="119" customFormat="1" x14ac:dyDescent="0.2">
      <c r="A26" s="118" t="s">
        <v>49</v>
      </c>
      <c r="B26" s="29"/>
      <c r="C26" s="29"/>
      <c r="D26" s="116">
        <v>0.54959999999999998</v>
      </c>
      <c r="E26" s="29"/>
    </row>
    <row r="30" spans="1:12" x14ac:dyDescent="0.2">
      <c r="J30" s="117" t="s">
        <v>69</v>
      </c>
    </row>
    <row r="31" spans="1:12" x14ac:dyDescent="0.2">
      <c r="J31" s="117" t="s">
        <v>70</v>
      </c>
    </row>
  </sheetData>
  <mergeCells count="4">
    <mergeCell ref="A1:L1"/>
    <mergeCell ref="A2:L2"/>
    <mergeCell ref="A3:L3"/>
    <mergeCell ref="A22:B22"/>
  </mergeCells>
  <pageMargins left="0.7" right="0.13" top="0.75" bottom="0.75" header="0.3" footer="0.3"/>
  <pageSetup paperSize="9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8"/>
  <sheetViews>
    <sheetView view="pageLayout" topLeftCell="A4" zoomScaleNormal="145" workbookViewId="0">
      <selection activeCell="I8" sqref="I8"/>
    </sheetView>
  </sheetViews>
  <sheetFormatPr defaultRowHeight="15" x14ac:dyDescent="0.25"/>
  <cols>
    <col min="1" max="1" width="9.85546875" customWidth="1"/>
    <col min="2" max="2" width="12.5703125" bestFit="1" customWidth="1"/>
    <col min="3" max="3" width="13.85546875" bestFit="1" customWidth="1"/>
    <col min="4" max="4" width="12.5703125" bestFit="1" customWidth="1"/>
    <col min="5" max="5" width="10.140625" bestFit="1" customWidth="1"/>
    <col min="6" max="6" width="12.5703125" bestFit="1" customWidth="1"/>
    <col min="7" max="7" width="12.42578125" bestFit="1" customWidth="1"/>
    <col min="8" max="8" width="12.5703125" bestFit="1" customWidth="1"/>
    <col min="9" max="9" width="8.85546875" customWidth="1"/>
    <col min="10" max="10" width="12.5703125" bestFit="1" customWidth="1"/>
    <col min="11" max="11" width="13.85546875" bestFit="1" customWidth="1"/>
    <col min="12" max="12" width="10" customWidth="1"/>
  </cols>
  <sheetData>
    <row r="1" spans="1:12" ht="25.5" x14ac:dyDescent="0.35">
      <c r="A1" s="138" t="s">
        <v>15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</row>
    <row r="2" spans="1:12" ht="23.25" x14ac:dyDescent="0.35">
      <c r="A2" s="133" t="s">
        <v>29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</row>
    <row r="3" spans="1:12" ht="20.25" x14ac:dyDescent="0.3">
      <c r="A3" s="142" t="s">
        <v>35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</row>
    <row r="4" spans="1:12" x14ac:dyDescent="0.25">
      <c r="A4" s="1"/>
      <c r="B4" s="1"/>
      <c r="C4" s="1"/>
      <c r="D4" s="1"/>
      <c r="F4" s="1"/>
      <c r="G4" s="1"/>
      <c r="H4" s="1"/>
      <c r="I4" s="1"/>
      <c r="J4" s="87" t="s">
        <v>50</v>
      </c>
      <c r="K4" s="1"/>
      <c r="L4" s="1"/>
    </row>
    <row r="5" spans="1:12" s="67" customFormat="1" ht="16.5" customHeight="1" x14ac:dyDescent="0.2">
      <c r="A5" s="62" t="s">
        <v>1</v>
      </c>
      <c r="B5" s="63" t="s">
        <v>2</v>
      </c>
      <c r="C5" s="64" t="s">
        <v>3</v>
      </c>
      <c r="D5" s="63" t="s">
        <v>4</v>
      </c>
      <c r="E5" s="63" t="s">
        <v>5</v>
      </c>
      <c r="F5" s="63" t="s">
        <v>6</v>
      </c>
      <c r="G5" s="64" t="s">
        <v>7</v>
      </c>
      <c r="H5" s="63" t="s">
        <v>8</v>
      </c>
      <c r="I5" s="63" t="s">
        <v>9</v>
      </c>
      <c r="J5" s="64" t="s">
        <v>10</v>
      </c>
      <c r="K5" s="65" t="s">
        <v>2</v>
      </c>
      <c r="L5" s="66" t="s">
        <v>11</v>
      </c>
    </row>
    <row r="6" spans="1:12" s="67" customFormat="1" ht="12" x14ac:dyDescent="0.2">
      <c r="A6" s="68"/>
      <c r="B6" s="69"/>
      <c r="C6" s="70"/>
      <c r="D6" s="69"/>
      <c r="E6" s="69"/>
      <c r="F6" s="69"/>
      <c r="G6" s="70"/>
      <c r="H6" s="69"/>
      <c r="I6" s="69"/>
      <c r="J6" s="70"/>
      <c r="K6" s="10" t="s">
        <v>12</v>
      </c>
      <c r="L6" s="72" t="s">
        <v>13</v>
      </c>
    </row>
    <row r="7" spans="1:12" s="67" customFormat="1" ht="16.5" customHeight="1" x14ac:dyDescent="0.2">
      <c r="A7" s="73" t="s">
        <v>16</v>
      </c>
      <c r="B7" s="74">
        <v>250000</v>
      </c>
      <c r="C7" s="75">
        <v>989904</v>
      </c>
      <c r="D7" s="76">
        <v>140180</v>
      </c>
      <c r="E7" s="75">
        <v>0</v>
      </c>
      <c r="F7" s="75">
        <v>140180</v>
      </c>
      <c r="G7" s="75">
        <v>8728</v>
      </c>
      <c r="H7" s="75">
        <v>72860</v>
      </c>
      <c r="I7" s="77"/>
      <c r="J7" s="75">
        <f>C7+D7-E7-G7-H7-I7</f>
        <v>1048496</v>
      </c>
      <c r="K7" s="78">
        <f>F7*100/B7</f>
        <v>56.072000000000003</v>
      </c>
      <c r="L7" s="89">
        <f>F7*100/F19</f>
        <v>4.4686575538100586</v>
      </c>
    </row>
    <row r="8" spans="1:12" s="67" customFormat="1" ht="16.5" customHeight="1" x14ac:dyDescent="0.2">
      <c r="A8" s="80" t="s">
        <v>17</v>
      </c>
      <c r="B8" s="75">
        <v>250000</v>
      </c>
      <c r="C8" s="75">
        <v>1048496</v>
      </c>
      <c r="D8" s="76">
        <v>406150</v>
      </c>
      <c r="E8" s="81">
        <v>0</v>
      </c>
      <c r="F8" s="75">
        <v>406150</v>
      </c>
      <c r="G8" s="75">
        <v>27191</v>
      </c>
      <c r="H8" s="75">
        <v>281500</v>
      </c>
      <c r="I8" s="75"/>
      <c r="J8" s="82">
        <f>C8+D8-E8-G8-H8</f>
        <v>1145955</v>
      </c>
      <c r="K8" s="78">
        <f t="shared" ref="K8:K18" si="0">F8*100/B8</f>
        <v>162.46</v>
      </c>
      <c r="L8" s="89">
        <f>F8*100/F19</f>
        <v>12.947248291339386</v>
      </c>
    </row>
    <row r="9" spans="1:12" s="67" customFormat="1" ht="16.5" customHeight="1" x14ac:dyDescent="0.2">
      <c r="A9" s="80" t="s">
        <v>18</v>
      </c>
      <c r="B9" s="75">
        <v>250000</v>
      </c>
      <c r="C9" s="75">
        <v>1145955</v>
      </c>
      <c r="D9" s="76">
        <v>243230</v>
      </c>
      <c r="E9" s="81">
        <v>0</v>
      </c>
      <c r="F9" s="75">
        <v>243230</v>
      </c>
      <c r="G9" s="75">
        <v>17026</v>
      </c>
      <c r="H9" s="75">
        <v>133000</v>
      </c>
      <c r="I9" s="75"/>
      <c r="J9" s="82">
        <f>C9+D9-E9-G9-H9</f>
        <v>1239159</v>
      </c>
      <c r="K9" s="78">
        <f t="shared" si="0"/>
        <v>97.292000000000002</v>
      </c>
      <c r="L9" s="89">
        <f>F9*100/F19</f>
        <v>7.7536850963990611</v>
      </c>
    </row>
    <row r="10" spans="1:12" s="67" customFormat="1" ht="16.5" customHeight="1" x14ac:dyDescent="0.2">
      <c r="A10" s="80" t="s">
        <v>19</v>
      </c>
      <c r="B10" s="75">
        <v>300000</v>
      </c>
      <c r="C10" s="75">
        <v>1239159</v>
      </c>
      <c r="D10" s="76">
        <v>195710</v>
      </c>
      <c r="E10" s="75">
        <v>0</v>
      </c>
      <c r="F10" s="75">
        <v>195710</v>
      </c>
      <c r="G10" s="75">
        <v>13699</v>
      </c>
      <c r="H10" s="75">
        <v>140000</v>
      </c>
      <c r="I10" s="75"/>
      <c r="J10" s="75">
        <f t="shared" ref="J10" si="1">C10+D10-E10-G10-H10</f>
        <v>1281170</v>
      </c>
      <c r="K10" s="78">
        <f t="shared" si="0"/>
        <v>65.236666666666665</v>
      </c>
      <c r="L10" s="89">
        <f>F10*100/F19</f>
        <v>6.2388427012139145</v>
      </c>
    </row>
    <row r="11" spans="1:12" s="67" customFormat="1" ht="16.5" customHeight="1" x14ac:dyDescent="0.2">
      <c r="A11" s="73" t="s">
        <v>28</v>
      </c>
      <c r="B11" s="74">
        <v>300000</v>
      </c>
      <c r="C11" s="75">
        <v>1281170</v>
      </c>
      <c r="D11" s="76">
        <v>322640</v>
      </c>
      <c r="E11" s="75">
        <v>0</v>
      </c>
      <c r="F11" s="75">
        <v>322640</v>
      </c>
      <c r="G11" s="75">
        <v>22584</v>
      </c>
      <c r="H11" s="75">
        <v>267000</v>
      </c>
      <c r="I11" s="75"/>
      <c r="J11" s="82">
        <f>C11+D11-E11-G11-H11</f>
        <v>1314226</v>
      </c>
      <c r="K11" s="78">
        <f t="shared" si="0"/>
        <v>107.54666666666667</v>
      </c>
      <c r="L11" s="89">
        <f>F11*100/F19</f>
        <v>10.285116800979292</v>
      </c>
    </row>
    <row r="12" spans="1:12" s="67" customFormat="1" ht="16.5" customHeight="1" x14ac:dyDescent="0.2">
      <c r="A12" s="80" t="s">
        <v>21</v>
      </c>
      <c r="B12" s="75">
        <v>300000</v>
      </c>
      <c r="C12" s="75">
        <v>1314226</v>
      </c>
      <c r="D12" s="76">
        <v>292800</v>
      </c>
      <c r="E12" s="75">
        <v>0</v>
      </c>
      <c r="F12" s="75">
        <v>292800</v>
      </c>
      <c r="G12" s="75">
        <v>20496</v>
      </c>
      <c r="H12" s="75">
        <v>300000</v>
      </c>
      <c r="I12" s="75"/>
      <c r="J12" s="75">
        <f t="shared" ref="J12" si="2">C12+D12-E12-G12-H12</f>
        <v>1286530</v>
      </c>
      <c r="K12" s="78">
        <f t="shared" si="0"/>
        <v>97.6</v>
      </c>
      <c r="L12" s="89">
        <f>F12*100/F19</f>
        <v>9.3338773844741407</v>
      </c>
    </row>
    <row r="13" spans="1:12" s="67" customFormat="1" ht="16.5" customHeight="1" x14ac:dyDescent="0.2">
      <c r="A13" s="80" t="s">
        <v>22</v>
      </c>
      <c r="B13" s="75">
        <v>350000</v>
      </c>
      <c r="C13" s="75">
        <v>1286530</v>
      </c>
      <c r="D13" s="76">
        <v>342570</v>
      </c>
      <c r="E13" s="75">
        <v>0</v>
      </c>
      <c r="F13" s="75">
        <f>D13-E13</f>
        <v>342570</v>
      </c>
      <c r="G13" s="75">
        <v>23979</v>
      </c>
      <c r="H13" s="75">
        <v>130000</v>
      </c>
      <c r="I13" s="75"/>
      <c r="J13" s="75">
        <f>C13+D13-E13-G13-H13</f>
        <v>1475121</v>
      </c>
      <c r="K13" s="78">
        <f t="shared" si="0"/>
        <v>97.877142857142857</v>
      </c>
      <c r="L13" s="89">
        <f>F13*100/F19</f>
        <v>10.920445271855554</v>
      </c>
    </row>
    <row r="14" spans="1:12" s="67" customFormat="1" ht="16.5" customHeight="1" x14ac:dyDescent="0.2">
      <c r="A14" s="73" t="s">
        <v>23</v>
      </c>
      <c r="B14" s="74">
        <v>350000</v>
      </c>
      <c r="C14" s="75">
        <v>1475121</v>
      </c>
      <c r="D14" s="76">
        <v>182700</v>
      </c>
      <c r="E14" s="75">
        <v>0</v>
      </c>
      <c r="F14" s="75">
        <f t="shared" ref="F14:F18" si="3">D14-E14</f>
        <v>182700</v>
      </c>
      <c r="G14" s="75">
        <v>9765</v>
      </c>
      <c r="H14" s="75">
        <v>275000</v>
      </c>
      <c r="I14" s="77"/>
      <c r="J14" s="75">
        <f t="shared" ref="J14:J18" si="4">C14+D14-E14-G14-H14</f>
        <v>1373056</v>
      </c>
      <c r="K14" s="78">
        <f t="shared" si="0"/>
        <v>52.2</v>
      </c>
      <c r="L14" s="89">
        <f>F14*100/F19</f>
        <v>5.8241099663368354</v>
      </c>
    </row>
    <row r="15" spans="1:12" s="67" customFormat="1" ht="16.5" customHeight="1" x14ac:dyDescent="0.2">
      <c r="A15" s="83" t="s">
        <v>24</v>
      </c>
      <c r="B15" s="74">
        <v>350000</v>
      </c>
      <c r="C15" s="75">
        <v>1373056</v>
      </c>
      <c r="D15" s="76">
        <v>343880</v>
      </c>
      <c r="E15" s="75">
        <v>0</v>
      </c>
      <c r="F15" s="75">
        <f t="shared" si="3"/>
        <v>343880</v>
      </c>
      <c r="G15" s="75">
        <v>13882</v>
      </c>
      <c r="H15" s="75">
        <v>228500</v>
      </c>
      <c r="I15" s="75"/>
      <c r="J15" s="75">
        <f t="shared" si="4"/>
        <v>1474554</v>
      </c>
      <c r="K15" s="78">
        <f t="shared" si="0"/>
        <v>98.251428571428576</v>
      </c>
      <c r="L15" s="89">
        <f>F15*100/F19</f>
        <v>10.962205447312048</v>
      </c>
    </row>
    <row r="16" spans="1:12" s="67" customFormat="1" ht="16.5" customHeight="1" x14ac:dyDescent="0.2">
      <c r="A16" s="74" t="s">
        <v>25</v>
      </c>
      <c r="B16" s="74">
        <v>300000</v>
      </c>
      <c r="C16" s="75">
        <v>1474554</v>
      </c>
      <c r="D16" s="76">
        <v>349700</v>
      </c>
      <c r="E16" s="75">
        <v>26410</v>
      </c>
      <c r="F16" s="75">
        <f t="shared" si="3"/>
        <v>323290</v>
      </c>
      <c r="G16" s="75">
        <v>105541</v>
      </c>
      <c r="H16" s="75">
        <v>245500</v>
      </c>
      <c r="I16" s="75"/>
      <c r="J16" s="75">
        <f t="shared" si="4"/>
        <v>1446803</v>
      </c>
      <c r="K16" s="78">
        <f t="shared" si="0"/>
        <v>107.76333333333334</v>
      </c>
      <c r="L16" s="89">
        <f>F16*100/F19</f>
        <v>10.30583749872488</v>
      </c>
    </row>
    <row r="17" spans="1:12" s="67" customFormat="1" ht="16.5" customHeight="1" x14ac:dyDescent="0.2">
      <c r="A17" s="74" t="s">
        <v>26</v>
      </c>
      <c r="B17" s="74">
        <v>300000</v>
      </c>
      <c r="C17" s="75">
        <v>1446803</v>
      </c>
      <c r="D17" s="76">
        <v>343810</v>
      </c>
      <c r="E17" s="75">
        <v>0</v>
      </c>
      <c r="F17" s="75">
        <f t="shared" si="3"/>
        <v>343810</v>
      </c>
      <c r="G17" s="75">
        <v>21941</v>
      </c>
      <c r="H17" s="75">
        <v>272000</v>
      </c>
      <c r="I17" s="75"/>
      <c r="J17" s="75">
        <f t="shared" si="4"/>
        <v>1496672</v>
      </c>
      <c r="K17" s="78">
        <f>F17*100/B17</f>
        <v>114.60333333333334</v>
      </c>
      <c r="L17" s="89">
        <f>F17*100/F19</f>
        <v>10.959973987554831</v>
      </c>
    </row>
    <row r="18" spans="1:12" s="67" customFormat="1" ht="16.5" customHeight="1" x14ac:dyDescent="0.2">
      <c r="A18" s="74" t="s">
        <v>27</v>
      </c>
      <c r="B18" s="74">
        <v>300000</v>
      </c>
      <c r="C18" s="75">
        <v>1496672</v>
      </c>
      <c r="D18" s="76">
        <v>0</v>
      </c>
      <c r="E18" s="75">
        <v>0</v>
      </c>
      <c r="F18" s="75">
        <f t="shared" si="3"/>
        <v>0</v>
      </c>
      <c r="G18" s="75">
        <v>0</v>
      </c>
      <c r="H18" s="75">
        <v>365000</v>
      </c>
      <c r="I18" s="75"/>
      <c r="J18" s="75">
        <f t="shared" si="4"/>
        <v>1131672</v>
      </c>
      <c r="K18" s="78">
        <f t="shared" si="0"/>
        <v>0</v>
      </c>
      <c r="L18" s="89">
        <f>F18*100/F19</f>
        <v>0</v>
      </c>
    </row>
    <row r="19" spans="1:12" s="67" customFormat="1" ht="16.5" customHeight="1" x14ac:dyDescent="0.2">
      <c r="A19" s="32" t="s">
        <v>14</v>
      </c>
      <c r="B19" s="32">
        <f>SUM(B7:B18)</f>
        <v>3600000</v>
      </c>
      <c r="C19" s="32"/>
      <c r="D19" s="84">
        <f>SUM(D7:D18)</f>
        <v>3163370</v>
      </c>
      <c r="E19" s="32">
        <f>SUM(E7:E18)</f>
        <v>26410</v>
      </c>
      <c r="F19" s="32">
        <f>SUM(F7:F18)</f>
        <v>3136960</v>
      </c>
      <c r="G19" s="32">
        <f>SUM(G7:G18)</f>
        <v>284832</v>
      </c>
      <c r="H19" s="32">
        <f>SUM(H7:H18)</f>
        <v>2710360</v>
      </c>
      <c r="I19" s="32"/>
      <c r="J19" s="32"/>
      <c r="K19" s="86">
        <f>F19*100/B19</f>
        <v>87.137777777777771</v>
      </c>
      <c r="L19" s="85"/>
    </row>
    <row r="21" spans="1:12" s="29" customFormat="1" ht="17.25" customHeight="1" x14ac:dyDescent="0.2">
      <c r="A21" s="118" t="s">
        <v>48</v>
      </c>
      <c r="D21" s="31">
        <f>F19/12</f>
        <v>261413.33333333334</v>
      </c>
    </row>
    <row r="22" spans="1:12" s="29" customFormat="1" ht="17.25" customHeight="1" x14ac:dyDescent="0.2">
      <c r="A22" s="118" t="s">
        <v>47</v>
      </c>
      <c r="D22" s="31">
        <f>B19/12</f>
        <v>300000</v>
      </c>
    </row>
    <row r="23" spans="1:12" s="29" customFormat="1" ht="17.25" customHeight="1" x14ac:dyDescent="0.2">
      <c r="A23" s="118" t="s">
        <v>45</v>
      </c>
      <c r="D23" s="31">
        <f>H19/12</f>
        <v>225863.33333333334</v>
      </c>
    </row>
    <row r="24" spans="1:12" s="29" customFormat="1" ht="17.25" customHeight="1" x14ac:dyDescent="0.2">
      <c r="A24" s="118" t="s">
        <v>46</v>
      </c>
      <c r="D24" s="30">
        <v>0.87139999999999995</v>
      </c>
      <c r="G24" s="31"/>
      <c r="J24" s="31"/>
    </row>
    <row r="25" spans="1:12" s="29" customFormat="1" ht="17.25" customHeight="1" x14ac:dyDescent="0.2">
      <c r="A25" s="118" t="s">
        <v>49</v>
      </c>
      <c r="D25" s="30">
        <v>0.12859999999999999</v>
      </c>
    </row>
    <row r="26" spans="1:12" s="29" customFormat="1" ht="14.25" x14ac:dyDescent="0.2"/>
    <row r="27" spans="1:12" s="29" customFormat="1" ht="14.25" x14ac:dyDescent="0.2">
      <c r="J27" s="117" t="s">
        <v>69</v>
      </c>
    </row>
    <row r="28" spans="1:12" s="29" customFormat="1" ht="14.25" x14ac:dyDescent="0.2">
      <c r="J28" s="117" t="s">
        <v>70</v>
      </c>
    </row>
  </sheetData>
  <mergeCells count="3">
    <mergeCell ref="A1:L1"/>
    <mergeCell ref="A2:L2"/>
    <mergeCell ref="A3:L3"/>
  </mergeCells>
  <pageMargins left="0.5" right="0" top="0.75" bottom="0.75" header="0.3" footer="0.3"/>
  <pageSetup paperSize="9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7"/>
  <sheetViews>
    <sheetView view="pageLayout" topLeftCell="A10" zoomScaleNormal="100" workbookViewId="0">
      <selection activeCell="D15" sqref="D15"/>
    </sheetView>
  </sheetViews>
  <sheetFormatPr defaultRowHeight="15" x14ac:dyDescent="0.25"/>
  <cols>
    <col min="1" max="1" width="10.85546875" bestFit="1" customWidth="1"/>
    <col min="2" max="2" width="12.42578125" bestFit="1" customWidth="1"/>
    <col min="3" max="3" width="13.85546875" bestFit="1" customWidth="1"/>
    <col min="4" max="4" width="12.7109375" bestFit="1" customWidth="1"/>
    <col min="5" max="5" width="11" bestFit="1" customWidth="1"/>
    <col min="6" max="8" width="12.42578125" bestFit="1" customWidth="1"/>
    <col min="9" max="9" width="8.140625" customWidth="1"/>
    <col min="10" max="10" width="12.42578125" bestFit="1" customWidth="1"/>
    <col min="11" max="11" width="15" bestFit="1" customWidth="1"/>
    <col min="12" max="12" width="9.85546875" bestFit="1" customWidth="1"/>
  </cols>
  <sheetData>
    <row r="1" spans="1:12" ht="23.25" x14ac:dyDescent="0.35">
      <c r="A1" s="140" t="s">
        <v>15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</row>
    <row r="2" spans="1:12" ht="20.25" x14ac:dyDescent="0.3">
      <c r="A2" s="128" t="s">
        <v>32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</row>
    <row r="3" spans="1:12" ht="18.75" x14ac:dyDescent="0.25">
      <c r="A3" s="129" t="s">
        <v>36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</row>
    <row r="4" spans="1:12" x14ac:dyDescent="0.25">
      <c r="A4" s="1"/>
      <c r="B4" s="1"/>
      <c r="C4" s="1"/>
      <c r="E4" s="26"/>
      <c r="F4" s="26"/>
      <c r="I4" s="25" t="s">
        <v>51</v>
      </c>
      <c r="K4" s="1"/>
      <c r="L4" s="1"/>
    </row>
    <row r="5" spans="1:12" s="67" customFormat="1" ht="18.75" customHeight="1" x14ac:dyDescent="0.2">
      <c r="A5" s="62" t="s">
        <v>1</v>
      </c>
      <c r="B5" s="63" t="s">
        <v>2</v>
      </c>
      <c r="C5" s="64" t="s">
        <v>3</v>
      </c>
      <c r="D5" s="63" t="s">
        <v>4</v>
      </c>
      <c r="E5" s="63" t="s">
        <v>5</v>
      </c>
      <c r="F5" s="63" t="s">
        <v>6</v>
      </c>
      <c r="G5" s="64" t="s">
        <v>7</v>
      </c>
      <c r="H5" s="63" t="s">
        <v>8</v>
      </c>
      <c r="I5" s="63" t="s">
        <v>9</v>
      </c>
      <c r="J5" s="64" t="s">
        <v>10</v>
      </c>
      <c r="K5" s="65" t="s">
        <v>2</v>
      </c>
      <c r="L5" s="66" t="s">
        <v>11</v>
      </c>
    </row>
    <row r="6" spans="1:12" s="67" customFormat="1" ht="18.75" customHeight="1" x14ac:dyDescent="0.2">
      <c r="A6" s="68"/>
      <c r="B6" s="69"/>
      <c r="C6" s="70"/>
      <c r="D6" s="69"/>
      <c r="E6" s="69"/>
      <c r="F6" s="69"/>
      <c r="G6" s="70"/>
      <c r="H6" s="69"/>
      <c r="I6" s="69"/>
      <c r="J6" s="70"/>
      <c r="K6" s="71" t="s">
        <v>12</v>
      </c>
      <c r="L6" s="72" t="s">
        <v>13</v>
      </c>
    </row>
    <row r="7" spans="1:12" s="67" customFormat="1" ht="18.75" customHeight="1" x14ac:dyDescent="0.2">
      <c r="A7" s="73" t="s">
        <v>16</v>
      </c>
      <c r="B7" s="88">
        <v>250000</v>
      </c>
      <c r="C7" s="75">
        <v>1454235</v>
      </c>
      <c r="D7" s="76">
        <v>96600</v>
      </c>
      <c r="E7" s="75"/>
      <c r="F7" s="75">
        <f>D7-E7</f>
        <v>96600</v>
      </c>
      <c r="G7" s="75">
        <v>4155</v>
      </c>
      <c r="H7" s="75">
        <v>129500</v>
      </c>
      <c r="I7" s="77"/>
      <c r="J7" s="75">
        <f>C7+D7-E7-G7-H7-I7</f>
        <v>1417180</v>
      </c>
      <c r="K7" s="78">
        <f>F7*100/B7</f>
        <v>38.64</v>
      </c>
      <c r="L7" s="89">
        <f>F7*100/F19</f>
        <v>3.1991839762611276</v>
      </c>
    </row>
    <row r="8" spans="1:12" s="67" customFormat="1" ht="18.75" customHeight="1" x14ac:dyDescent="0.2">
      <c r="A8" s="80" t="s">
        <v>17</v>
      </c>
      <c r="B8" s="90">
        <v>250000</v>
      </c>
      <c r="C8" s="75">
        <v>1417180</v>
      </c>
      <c r="D8" s="76">
        <v>50005</v>
      </c>
      <c r="E8" s="75"/>
      <c r="F8" s="75">
        <f t="shared" ref="F8:F18" si="0">D8-E8</f>
        <v>50005</v>
      </c>
      <c r="G8" s="75">
        <v>1540</v>
      </c>
      <c r="H8" s="75">
        <v>410535</v>
      </c>
      <c r="I8" s="75">
        <v>0</v>
      </c>
      <c r="J8" s="82">
        <f>C8+D8-E8-G8-H8</f>
        <v>1055110</v>
      </c>
      <c r="K8" s="78">
        <f t="shared" ref="K8:K18" si="1">F8*100/B8</f>
        <v>20.001999999999999</v>
      </c>
      <c r="L8" s="89">
        <f>100*F8/F19</f>
        <v>1.6560579164900382</v>
      </c>
    </row>
    <row r="9" spans="1:12" s="67" customFormat="1" ht="18.75" customHeight="1" x14ac:dyDescent="0.2">
      <c r="A9" s="80" t="s">
        <v>18</v>
      </c>
      <c r="B9" s="90">
        <v>250000</v>
      </c>
      <c r="C9" s="75">
        <v>1055110</v>
      </c>
      <c r="D9" s="76">
        <v>92060</v>
      </c>
      <c r="E9" s="81"/>
      <c r="F9" s="75">
        <f t="shared" si="0"/>
        <v>92060</v>
      </c>
      <c r="G9" s="75">
        <v>3660</v>
      </c>
      <c r="H9" s="75">
        <v>388400</v>
      </c>
      <c r="I9" s="75">
        <v>0</v>
      </c>
      <c r="J9" s="75">
        <f>C9+D9-E9-G9-H9</f>
        <v>755110</v>
      </c>
      <c r="K9" s="78">
        <f t="shared" si="1"/>
        <v>36.823999999999998</v>
      </c>
      <c r="L9" s="89">
        <f>100*F9/F19</f>
        <v>3.0488289529461636</v>
      </c>
    </row>
    <row r="10" spans="1:12" s="67" customFormat="1" ht="18.75" customHeight="1" x14ac:dyDescent="0.2">
      <c r="A10" s="80" t="s">
        <v>19</v>
      </c>
      <c r="B10" s="90">
        <v>400000</v>
      </c>
      <c r="C10" s="75">
        <v>755110</v>
      </c>
      <c r="D10" s="76">
        <v>62840</v>
      </c>
      <c r="E10" s="75"/>
      <c r="F10" s="75">
        <f t="shared" si="0"/>
        <v>62840</v>
      </c>
      <c r="G10" s="75">
        <v>22400</v>
      </c>
      <c r="H10" s="75">
        <v>129910</v>
      </c>
      <c r="I10" s="75">
        <v>0</v>
      </c>
      <c r="J10" s="75">
        <f t="shared" ref="J10" si="2">C10+D10-E10-G10-H10</f>
        <v>665640</v>
      </c>
      <c r="K10" s="78">
        <f t="shared" si="1"/>
        <v>15.71</v>
      </c>
      <c r="L10" s="89">
        <f>100*F10/F19</f>
        <v>2.0811254768969905</v>
      </c>
    </row>
    <row r="11" spans="1:12" s="67" customFormat="1" ht="18.75" customHeight="1" x14ac:dyDescent="0.2">
      <c r="A11" s="73" t="s">
        <v>28</v>
      </c>
      <c r="B11" s="88">
        <v>400000</v>
      </c>
      <c r="C11" s="75">
        <v>665640</v>
      </c>
      <c r="D11" s="76">
        <v>117490</v>
      </c>
      <c r="E11" s="75"/>
      <c r="F11" s="75">
        <f t="shared" si="0"/>
        <v>117490</v>
      </c>
      <c r="G11" s="75">
        <v>1530</v>
      </c>
      <c r="H11" s="75">
        <v>35500</v>
      </c>
      <c r="I11" s="75">
        <v>0</v>
      </c>
      <c r="J11" s="82">
        <f>C11+D11-E11-G11-H11</f>
        <v>746100</v>
      </c>
      <c r="K11" s="78">
        <f t="shared" si="1"/>
        <v>29.372499999999999</v>
      </c>
      <c r="L11" s="89">
        <f>F11*100/F19</f>
        <v>3.8910157905892326</v>
      </c>
    </row>
    <row r="12" spans="1:12" s="67" customFormat="1" ht="18.75" customHeight="1" x14ac:dyDescent="0.2">
      <c r="A12" s="80" t="s">
        <v>21</v>
      </c>
      <c r="B12" s="91">
        <v>400000</v>
      </c>
      <c r="C12" s="75">
        <v>746100</v>
      </c>
      <c r="D12" s="76">
        <v>362410</v>
      </c>
      <c r="E12" s="75"/>
      <c r="F12" s="75">
        <f t="shared" si="0"/>
        <v>362410</v>
      </c>
      <c r="G12" s="75">
        <v>1460</v>
      </c>
      <c r="H12" s="75">
        <v>42060</v>
      </c>
      <c r="I12" s="75">
        <v>0</v>
      </c>
      <c r="J12" s="75">
        <f t="shared" ref="J12" si="3">C12+D12-E12-G12-H12</f>
        <v>1064990</v>
      </c>
      <c r="K12" s="78">
        <f t="shared" si="1"/>
        <v>90.602500000000006</v>
      </c>
      <c r="L12" s="89">
        <f>100*F12/F19</f>
        <v>12.002238766426451</v>
      </c>
    </row>
    <row r="13" spans="1:12" s="67" customFormat="1" ht="18.75" customHeight="1" x14ac:dyDescent="0.2">
      <c r="A13" s="80" t="s">
        <v>22</v>
      </c>
      <c r="B13" s="91">
        <v>400000</v>
      </c>
      <c r="C13" s="75">
        <v>1064990</v>
      </c>
      <c r="D13" s="76">
        <v>160380</v>
      </c>
      <c r="E13" s="75">
        <v>5375</v>
      </c>
      <c r="F13" s="75">
        <f t="shared" si="0"/>
        <v>155005</v>
      </c>
      <c r="G13" s="75">
        <v>575</v>
      </c>
      <c r="H13" s="75">
        <v>118000</v>
      </c>
      <c r="I13" s="75">
        <v>0</v>
      </c>
      <c r="J13" s="75">
        <f>C13+D13-E13-G13-H13</f>
        <v>1101420</v>
      </c>
      <c r="K13" s="78">
        <f t="shared" si="1"/>
        <v>38.751249999999999</v>
      </c>
      <c r="L13" s="89">
        <f>100*F13/F19</f>
        <v>5.1334318037303941</v>
      </c>
    </row>
    <row r="14" spans="1:12" s="67" customFormat="1" ht="18.75" customHeight="1" x14ac:dyDescent="0.2">
      <c r="A14" s="73" t="s">
        <v>23</v>
      </c>
      <c r="B14" s="63">
        <v>400000</v>
      </c>
      <c r="C14" s="75">
        <v>1101420</v>
      </c>
      <c r="D14" s="76">
        <v>845575</v>
      </c>
      <c r="E14" s="75"/>
      <c r="F14" s="75">
        <f t="shared" si="0"/>
        <v>845575</v>
      </c>
      <c r="G14" s="75">
        <v>2210</v>
      </c>
      <c r="H14" s="75">
        <v>161500</v>
      </c>
      <c r="I14" s="77">
        <v>0</v>
      </c>
      <c r="J14" s="75">
        <f>C14+D14-E14-G14-H14-I14</f>
        <v>1783285</v>
      </c>
      <c r="K14" s="78">
        <f t="shared" si="1"/>
        <v>211.39375000000001</v>
      </c>
      <c r="L14" s="89">
        <f>F14*100/F19</f>
        <v>28.003623092412038</v>
      </c>
    </row>
    <row r="15" spans="1:12" s="67" customFormat="1" ht="18.75" customHeight="1" x14ac:dyDescent="0.2">
      <c r="A15" s="83" t="s">
        <v>24</v>
      </c>
      <c r="B15" s="63">
        <v>400000</v>
      </c>
      <c r="C15" s="75">
        <v>1783285</v>
      </c>
      <c r="D15" s="76">
        <v>1429575</v>
      </c>
      <c r="E15" s="75">
        <v>15350</v>
      </c>
      <c r="F15" s="75">
        <f>D15-E15</f>
        <v>1414225</v>
      </c>
      <c r="G15" s="75">
        <v>308267</v>
      </c>
      <c r="H15" s="75">
        <v>229153</v>
      </c>
      <c r="I15" s="75">
        <v>0</v>
      </c>
      <c r="J15" s="75">
        <f>C15+D15-E15-G15-H15-I15</f>
        <v>2660090</v>
      </c>
      <c r="K15" s="78">
        <f t="shared" si="1"/>
        <v>353.55624999999998</v>
      </c>
      <c r="L15" s="89">
        <f>F15*100/F19</f>
        <v>46.836086530309451</v>
      </c>
    </row>
    <row r="16" spans="1:12" s="67" customFormat="1" ht="18.75" customHeight="1" x14ac:dyDescent="0.2">
      <c r="A16" s="74" t="s">
        <v>25</v>
      </c>
      <c r="B16" s="63">
        <v>350000</v>
      </c>
      <c r="C16" s="75">
        <v>2660090</v>
      </c>
      <c r="D16" s="76">
        <v>208320</v>
      </c>
      <c r="E16" s="75">
        <v>385010</v>
      </c>
      <c r="F16" s="75">
        <f>D16-E16</f>
        <v>-176690</v>
      </c>
      <c r="G16" s="75">
        <v>0</v>
      </c>
      <c r="H16" s="75">
        <v>0</v>
      </c>
      <c r="I16" s="75">
        <v>0</v>
      </c>
      <c r="J16" s="75">
        <f>C16+D16-E16-G16-H16</f>
        <v>2483400</v>
      </c>
      <c r="K16" s="78">
        <f t="shared" si="1"/>
        <v>-50.482857142857142</v>
      </c>
      <c r="L16" s="89">
        <f>F16*100/F19</f>
        <v>-5.8515923060618906</v>
      </c>
    </row>
    <row r="17" spans="1:12" s="67" customFormat="1" ht="18.75" customHeight="1" x14ac:dyDescent="0.2">
      <c r="A17" s="74" t="s">
        <v>26</v>
      </c>
      <c r="B17" s="63">
        <v>350000</v>
      </c>
      <c r="C17" s="75">
        <v>2483400</v>
      </c>
      <c r="D17" s="76">
        <v>0</v>
      </c>
      <c r="E17" s="75">
        <v>0</v>
      </c>
      <c r="F17" s="75">
        <f t="shared" si="0"/>
        <v>0</v>
      </c>
      <c r="G17" s="75">
        <v>0</v>
      </c>
      <c r="H17" s="75">
        <v>0</v>
      </c>
      <c r="I17" s="75">
        <v>0</v>
      </c>
      <c r="J17" s="75">
        <f>C17+D17-E17-G17-H17</f>
        <v>2483400</v>
      </c>
      <c r="K17" s="78">
        <f t="shared" si="1"/>
        <v>0</v>
      </c>
      <c r="L17" s="89">
        <f>F17*100/F19</f>
        <v>0</v>
      </c>
    </row>
    <row r="18" spans="1:12" s="67" customFormat="1" ht="18.75" customHeight="1" x14ac:dyDescent="0.2">
      <c r="A18" s="74" t="s">
        <v>27</v>
      </c>
      <c r="B18" s="63">
        <v>350000</v>
      </c>
      <c r="C18" s="75">
        <v>2483400</v>
      </c>
      <c r="D18" s="76">
        <v>0</v>
      </c>
      <c r="E18" s="75">
        <v>0</v>
      </c>
      <c r="F18" s="75">
        <f t="shared" si="0"/>
        <v>0</v>
      </c>
      <c r="G18" s="75">
        <v>0</v>
      </c>
      <c r="H18" s="75">
        <v>0</v>
      </c>
      <c r="I18" s="75">
        <v>0</v>
      </c>
      <c r="J18" s="75">
        <f>C18+D18-E18-G18-H18</f>
        <v>2483400</v>
      </c>
      <c r="K18" s="78">
        <f t="shared" si="1"/>
        <v>0</v>
      </c>
      <c r="L18" s="89">
        <f>F18*100/F19</f>
        <v>0</v>
      </c>
    </row>
    <row r="19" spans="1:12" s="67" customFormat="1" ht="18.75" customHeight="1" x14ac:dyDescent="0.2">
      <c r="A19" s="32" t="s">
        <v>14</v>
      </c>
      <c r="B19" s="32">
        <f>SUM(B7:B18)</f>
        <v>4200000</v>
      </c>
      <c r="C19" s="32"/>
      <c r="D19" s="84">
        <f t="shared" ref="D19:I19" si="4">SUM(D7:D18)</f>
        <v>3425255</v>
      </c>
      <c r="E19" s="32">
        <f t="shared" si="4"/>
        <v>405735</v>
      </c>
      <c r="F19" s="92">
        <f t="shared" si="4"/>
        <v>3019520</v>
      </c>
      <c r="G19" s="32">
        <f t="shared" si="4"/>
        <v>345797</v>
      </c>
      <c r="H19" s="32">
        <f t="shared" si="4"/>
        <v>1644558</v>
      </c>
      <c r="I19" s="32">
        <f t="shared" si="4"/>
        <v>0</v>
      </c>
      <c r="J19" s="32"/>
      <c r="K19" s="86">
        <f>F19*100/B19</f>
        <v>71.893333333333331</v>
      </c>
      <c r="L19" s="89"/>
    </row>
    <row r="21" spans="1:12" x14ac:dyDescent="0.25">
      <c r="A21" s="118" t="s">
        <v>48</v>
      </c>
      <c r="B21" s="29"/>
      <c r="C21" s="29"/>
      <c r="D21" s="31">
        <f>F19/12</f>
        <v>251626.66666666666</v>
      </c>
    </row>
    <row r="22" spans="1:12" x14ac:dyDescent="0.25">
      <c r="A22" s="118" t="s">
        <v>47</v>
      </c>
      <c r="B22" s="29"/>
      <c r="C22" s="29"/>
      <c r="D22" s="31">
        <f>B19/12</f>
        <v>350000</v>
      </c>
    </row>
    <row r="23" spans="1:12" x14ac:dyDescent="0.25">
      <c r="A23" s="118" t="s">
        <v>45</v>
      </c>
      <c r="B23" s="29"/>
      <c r="C23" s="29"/>
      <c r="D23" s="31">
        <f>H19/12</f>
        <v>137046.5</v>
      </c>
    </row>
    <row r="24" spans="1:12" x14ac:dyDescent="0.25">
      <c r="A24" s="118" t="s">
        <v>46</v>
      </c>
      <c r="B24" s="29"/>
      <c r="C24" s="29"/>
      <c r="D24" s="30">
        <v>0.71889999999999998</v>
      </c>
    </row>
    <row r="25" spans="1:12" x14ac:dyDescent="0.25">
      <c r="A25" s="118" t="s">
        <v>49</v>
      </c>
      <c r="B25" s="29"/>
      <c r="C25" s="29"/>
      <c r="D25" s="30">
        <v>0.28110000000000002</v>
      </c>
      <c r="J25" s="117" t="s">
        <v>69</v>
      </c>
    </row>
    <row r="26" spans="1:12" x14ac:dyDescent="0.25">
      <c r="A26" s="29"/>
      <c r="B26" s="29"/>
      <c r="C26" s="29"/>
      <c r="D26" s="29"/>
      <c r="J26" s="117" t="s">
        <v>70</v>
      </c>
    </row>
    <row r="27" spans="1:12" x14ac:dyDescent="0.25">
      <c r="A27" s="29"/>
      <c r="B27" s="29"/>
      <c r="C27" s="29"/>
      <c r="D27" s="29"/>
    </row>
  </sheetData>
  <mergeCells count="3">
    <mergeCell ref="A1:L1"/>
    <mergeCell ref="A2:L2"/>
    <mergeCell ref="A3:L3"/>
  </mergeCells>
  <pageMargins left="0.25" right="0" top="0.75" bottom="0.75" header="0.3" footer="0.3"/>
  <pageSetup paperSize="9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8"/>
  <sheetViews>
    <sheetView tabSelected="1" view="pageLayout" topLeftCell="A19" zoomScaleNormal="100" workbookViewId="0">
      <selection activeCell="J26" sqref="J26"/>
    </sheetView>
  </sheetViews>
  <sheetFormatPr defaultRowHeight="14.25" x14ac:dyDescent="0.2"/>
  <cols>
    <col min="1" max="1" width="10.7109375" style="29" customWidth="1"/>
    <col min="2" max="2" width="12.42578125" style="29" bestFit="1" customWidth="1"/>
    <col min="3" max="3" width="13.140625" style="29" customWidth="1"/>
    <col min="4" max="4" width="12.42578125" style="29" customWidth="1"/>
    <col min="5" max="5" width="10" style="29" bestFit="1" customWidth="1"/>
    <col min="6" max="6" width="12.42578125" style="29" bestFit="1" customWidth="1"/>
    <col min="7" max="7" width="12.7109375" style="29" bestFit="1" customWidth="1"/>
    <col min="8" max="8" width="11.5703125" style="29" customWidth="1"/>
    <col min="9" max="9" width="8.5703125" style="29" customWidth="1"/>
    <col min="10" max="10" width="12.28515625" style="29" customWidth="1"/>
    <col min="11" max="11" width="14.5703125" style="29" customWidth="1"/>
    <col min="12" max="12" width="11" style="29" customWidth="1"/>
    <col min="13" max="16384" width="9.140625" style="29"/>
  </cols>
  <sheetData>
    <row r="1" spans="1:12" ht="30" x14ac:dyDescent="0.4">
      <c r="A1" s="127" t="s">
        <v>15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</row>
    <row r="2" spans="1:12" ht="20.25" x14ac:dyDescent="0.3">
      <c r="A2" s="128" t="s">
        <v>37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</row>
    <row r="3" spans="1:12" ht="18.75" x14ac:dyDescent="0.25">
      <c r="A3" s="129" t="s">
        <v>42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</row>
    <row r="4" spans="1:12" x14ac:dyDescent="0.2">
      <c r="A4" s="1"/>
      <c r="B4" s="1"/>
      <c r="C4" s="1"/>
      <c r="E4" s="26"/>
      <c r="F4" s="26"/>
      <c r="G4" s="26"/>
      <c r="H4" s="26"/>
      <c r="I4" s="1"/>
      <c r="J4" s="25" t="s">
        <v>51</v>
      </c>
      <c r="K4" s="1"/>
      <c r="L4" s="1"/>
    </row>
    <row r="5" spans="1:12" s="39" customFormat="1" ht="18" customHeight="1" x14ac:dyDescent="0.25">
      <c r="A5" s="34" t="s">
        <v>1</v>
      </c>
      <c r="B5" s="35" t="s">
        <v>2</v>
      </c>
      <c r="C5" s="36" t="s">
        <v>3</v>
      </c>
      <c r="D5" s="35" t="s">
        <v>4</v>
      </c>
      <c r="E5" s="35" t="s">
        <v>5</v>
      </c>
      <c r="F5" s="35" t="s">
        <v>6</v>
      </c>
      <c r="G5" s="36" t="s">
        <v>7</v>
      </c>
      <c r="H5" s="35" t="s">
        <v>8</v>
      </c>
      <c r="I5" s="35" t="s">
        <v>9</v>
      </c>
      <c r="J5" s="36" t="s">
        <v>10</v>
      </c>
      <c r="K5" s="37" t="s">
        <v>2</v>
      </c>
      <c r="L5" s="38" t="s">
        <v>11</v>
      </c>
    </row>
    <row r="6" spans="1:12" s="39" customFormat="1" ht="18" customHeight="1" x14ac:dyDescent="0.25">
      <c r="A6" s="40"/>
      <c r="B6" s="41"/>
      <c r="C6" s="42"/>
      <c r="D6" s="41"/>
      <c r="E6" s="41"/>
      <c r="F6" s="41"/>
      <c r="G6" s="42"/>
      <c r="H6" s="41"/>
      <c r="I6" s="41"/>
      <c r="J6" s="42"/>
      <c r="K6" s="43" t="s">
        <v>12</v>
      </c>
      <c r="L6" s="44" t="s">
        <v>13</v>
      </c>
    </row>
    <row r="7" spans="1:12" s="39" customFormat="1" ht="18" customHeight="1" x14ac:dyDescent="0.25">
      <c r="A7" s="45" t="s">
        <v>16</v>
      </c>
      <c r="B7" s="35">
        <v>200000</v>
      </c>
      <c r="C7" s="46"/>
      <c r="D7" s="47"/>
      <c r="E7" s="46"/>
      <c r="F7" s="46"/>
      <c r="G7" s="46"/>
      <c r="H7" s="46"/>
      <c r="I7" s="48"/>
      <c r="J7" s="46"/>
      <c r="K7" s="49">
        <f>F7*100/B7</f>
        <v>0</v>
      </c>
      <c r="L7" s="50">
        <f>F7*100/F19</f>
        <v>0</v>
      </c>
    </row>
    <row r="8" spans="1:12" s="39" customFormat="1" ht="18" customHeight="1" x14ac:dyDescent="0.25">
      <c r="A8" s="51" t="s">
        <v>17</v>
      </c>
      <c r="B8" s="60">
        <v>200000</v>
      </c>
      <c r="C8" s="46"/>
      <c r="D8" s="47">
        <v>53040</v>
      </c>
      <c r="E8" s="46"/>
      <c r="F8" s="46">
        <f>D8-E8</f>
        <v>53040</v>
      </c>
      <c r="G8" s="46">
        <v>3726</v>
      </c>
      <c r="H8" s="46">
        <v>30020</v>
      </c>
      <c r="I8" s="46"/>
      <c r="J8" s="52">
        <f>C8+D8-E8-G8-H8</f>
        <v>19294</v>
      </c>
      <c r="K8" s="50">
        <f>F8*100/B8</f>
        <v>26.52</v>
      </c>
      <c r="L8" s="50">
        <f>100*F8/F19</f>
        <v>3.9930678414998999</v>
      </c>
    </row>
    <row r="9" spans="1:12" s="39" customFormat="1" ht="18" customHeight="1" x14ac:dyDescent="0.25">
      <c r="A9" s="51" t="s">
        <v>18</v>
      </c>
      <c r="B9" s="60">
        <v>200000</v>
      </c>
      <c r="C9" s="46">
        <v>19294</v>
      </c>
      <c r="D9" s="47">
        <v>45220</v>
      </c>
      <c r="E9" s="53"/>
      <c r="F9" s="46">
        <f t="shared" ref="F9:F18" si="0">D9-E9</f>
        <v>45220</v>
      </c>
      <c r="G9" s="46">
        <v>1906</v>
      </c>
      <c r="H9" s="46">
        <v>33540</v>
      </c>
      <c r="I9" s="46"/>
      <c r="J9" s="46">
        <f>C9+D9-E9-G9-H9</f>
        <v>29068</v>
      </c>
      <c r="K9" s="50">
        <f t="shared" ref="K9:K18" si="1">F9*100/B9</f>
        <v>22.61</v>
      </c>
      <c r="L9" s="50">
        <f>100*F9/F19</f>
        <v>3.4043463007659405</v>
      </c>
    </row>
    <row r="10" spans="1:12" s="39" customFormat="1" ht="18" customHeight="1" x14ac:dyDescent="0.25">
      <c r="A10" s="51" t="s">
        <v>19</v>
      </c>
      <c r="B10" s="60">
        <v>300000</v>
      </c>
      <c r="C10" s="46">
        <v>29068</v>
      </c>
      <c r="D10" s="47">
        <v>99670</v>
      </c>
      <c r="E10" s="46"/>
      <c r="F10" s="46">
        <f t="shared" si="0"/>
        <v>99670</v>
      </c>
      <c r="G10" s="46">
        <v>4929</v>
      </c>
      <c r="H10" s="46">
        <v>75075</v>
      </c>
      <c r="I10" s="46"/>
      <c r="J10" s="46">
        <f t="shared" ref="J10" si="2">C10+D10-E10-G10-H10</f>
        <v>48734</v>
      </c>
      <c r="K10" s="50">
        <f t="shared" si="1"/>
        <v>33.223333333333336</v>
      </c>
      <c r="L10" s="50">
        <f>100*F10/F19</f>
        <v>7.5035647014007356</v>
      </c>
    </row>
    <row r="11" spans="1:12" s="39" customFormat="1" ht="18" customHeight="1" x14ac:dyDescent="0.25">
      <c r="A11" s="45" t="s">
        <v>28</v>
      </c>
      <c r="B11" s="61">
        <v>300000</v>
      </c>
      <c r="C11" s="46">
        <v>48734</v>
      </c>
      <c r="D11" s="47">
        <v>105267</v>
      </c>
      <c r="E11" s="46"/>
      <c r="F11" s="46">
        <f t="shared" si="0"/>
        <v>105267</v>
      </c>
      <c r="G11" s="46">
        <v>4298</v>
      </c>
      <c r="H11" s="46">
        <v>93900</v>
      </c>
      <c r="I11" s="46"/>
      <c r="J11" s="52">
        <f>C11+D11-E11-G11-H11</f>
        <v>55803</v>
      </c>
      <c r="K11" s="50">
        <f t="shared" si="1"/>
        <v>35.088999999999999</v>
      </c>
      <c r="L11" s="50">
        <f>F11*100/F19</f>
        <v>7.9249297223071258</v>
      </c>
    </row>
    <row r="12" spans="1:12" s="39" customFormat="1" ht="18" customHeight="1" x14ac:dyDescent="0.25">
      <c r="A12" s="51" t="s">
        <v>21</v>
      </c>
      <c r="B12" s="54">
        <v>300000</v>
      </c>
      <c r="C12" s="46">
        <v>55803</v>
      </c>
      <c r="D12" s="47">
        <v>136110</v>
      </c>
      <c r="E12" s="46">
        <v>8400</v>
      </c>
      <c r="F12" s="46">
        <f t="shared" si="0"/>
        <v>127710</v>
      </c>
      <c r="G12" s="46">
        <v>3387</v>
      </c>
      <c r="H12" s="46">
        <v>36326</v>
      </c>
      <c r="I12" s="46"/>
      <c r="J12" s="46">
        <f t="shared" ref="J12" si="3">C12+D12-E12-G12-H12</f>
        <v>143800</v>
      </c>
      <c r="K12" s="50">
        <f t="shared" si="1"/>
        <v>42.57</v>
      </c>
      <c r="L12" s="50">
        <f>100*F12/F19</f>
        <v>9.6145304305797925</v>
      </c>
    </row>
    <row r="13" spans="1:12" s="39" customFormat="1" ht="18" customHeight="1" x14ac:dyDescent="0.25">
      <c r="A13" s="51" t="s">
        <v>22</v>
      </c>
      <c r="B13" s="54">
        <v>350000</v>
      </c>
      <c r="C13" s="46">
        <v>143800</v>
      </c>
      <c r="D13" s="47">
        <v>111495</v>
      </c>
      <c r="E13" s="46"/>
      <c r="F13" s="46">
        <f t="shared" si="0"/>
        <v>111495</v>
      </c>
      <c r="G13" s="46">
        <v>6386</v>
      </c>
      <c r="H13" s="46">
        <v>56818</v>
      </c>
      <c r="I13" s="46"/>
      <c r="J13" s="46">
        <f>C13+D13-E13-G13-H13</f>
        <v>192091</v>
      </c>
      <c r="K13" s="50">
        <f t="shared" si="1"/>
        <v>31.855714285714285</v>
      </c>
      <c r="L13" s="50">
        <f>100*F13/F19</f>
        <v>8.3937990005284941</v>
      </c>
    </row>
    <row r="14" spans="1:12" s="39" customFormat="1" ht="18" customHeight="1" x14ac:dyDescent="0.25">
      <c r="A14" s="45" t="s">
        <v>23</v>
      </c>
      <c r="B14" s="35">
        <v>350000</v>
      </c>
      <c r="C14" s="46">
        <v>192091</v>
      </c>
      <c r="D14" s="47">
        <v>193610</v>
      </c>
      <c r="E14" s="46"/>
      <c r="F14" s="46">
        <f t="shared" si="0"/>
        <v>193610</v>
      </c>
      <c r="G14" s="46">
        <v>8686</v>
      </c>
      <c r="H14" s="46">
        <v>99000</v>
      </c>
      <c r="I14" s="48"/>
      <c r="J14" s="46">
        <f>C14+D14-E14-G14-H14-I14</f>
        <v>278015</v>
      </c>
      <c r="K14" s="50">
        <f t="shared" si="1"/>
        <v>55.317142857142855</v>
      </c>
      <c r="L14" s="50">
        <f>F14*100/F19</f>
        <v>14.575751598657535</v>
      </c>
    </row>
    <row r="15" spans="1:12" s="39" customFormat="1" ht="18" customHeight="1" x14ac:dyDescent="0.25">
      <c r="A15" s="55" t="s">
        <v>24</v>
      </c>
      <c r="B15" s="35">
        <v>350000</v>
      </c>
      <c r="C15" s="46">
        <v>278015</v>
      </c>
      <c r="D15" s="47">
        <v>159590</v>
      </c>
      <c r="E15" s="46">
        <v>0</v>
      </c>
      <c r="F15" s="46">
        <f t="shared" si="0"/>
        <v>159590</v>
      </c>
      <c r="G15" s="46">
        <v>7842</v>
      </c>
      <c r="H15" s="46">
        <v>107000</v>
      </c>
      <c r="I15" s="46"/>
      <c r="J15" s="52">
        <f>C15+D15-E15-G15-H15-I15</f>
        <v>322763</v>
      </c>
      <c r="K15" s="50">
        <f t="shared" si="1"/>
        <v>45.597142857142856</v>
      </c>
      <c r="L15" s="50">
        <f>F15*100/F19</f>
        <v>12.014587044211332</v>
      </c>
    </row>
    <row r="16" spans="1:12" s="39" customFormat="1" ht="18" customHeight="1" x14ac:dyDescent="0.25">
      <c r="A16" s="56" t="s">
        <v>25</v>
      </c>
      <c r="B16" s="35">
        <v>300000</v>
      </c>
      <c r="C16" s="46">
        <v>322763</v>
      </c>
      <c r="D16" s="47">
        <v>149600</v>
      </c>
      <c r="E16" s="46">
        <v>3550</v>
      </c>
      <c r="F16" s="46">
        <f t="shared" si="0"/>
        <v>146050</v>
      </c>
      <c r="G16" s="46">
        <v>8264</v>
      </c>
      <c r="H16" s="46">
        <v>123500</v>
      </c>
      <c r="I16" s="46"/>
      <c r="J16" s="46">
        <f>C16+D16-E16-G16-H16</f>
        <v>337049</v>
      </c>
      <c r="K16" s="50">
        <f t="shared" si="1"/>
        <v>48.68333333333333</v>
      </c>
      <c r="L16" s="50">
        <f>F16*100/F19</f>
        <v>10.995240540178363</v>
      </c>
    </row>
    <row r="17" spans="1:12" s="39" customFormat="1" ht="18" customHeight="1" x14ac:dyDescent="0.25">
      <c r="A17" s="56" t="s">
        <v>26</v>
      </c>
      <c r="B17" s="35">
        <v>300000</v>
      </c>
      <c r="C17" s="46">
        <v>337049</v>
      </c>
      <c r="D17" s="47">
        <v>175800</v>
      </c>
      <c r="E17" s="46"/>
      <c r="F17" s="46">
        <f t="shared" si="0"/>
        <v>175800</v>
      </c>
      <c r="G17" s="46">
        <v>7452</v>
      </c>
      <c r="H17" s="46">
        <v>98400</v>
      </c>
      <c r="I17" s="46"/>
      <c r="J17" s="46">
        <f>C17+D17-E17-G17-H17</f>
        <v>406997</v>
      </c>
      <c r="K17" s="50">
        <f t="shared" si="1"/>
        <v>58.6</v>
      </c>
      <c r="L17" s="50">
        <f>F17*100/F19</f>
        <v>13.234942053840166</v>
      </c>
    </row>
    <row r="18" spans="1:12" s="39" customFormat="1" ht="18" customHeight="1" x14ac:dyDescent="0.25">
      <c r="A18" s="56" t="s">
        <v>27</v>
      </c>
      <c r="B18" s="35">
        <v>300000</v>
      </c>
      <c r="C18" s="46">
        <v>406997</v>
      </c>
      <c r="D18" s="47">
        <v>110850</v>
      </c>
      <c r="E18" s="46">
        <v>0</v>
      </c>
      <c r="F18" s="46">
        <f t="shared" si="0"/>
        <v>110850</v>
      </c>
      <c r="G18" s="46">
        <v>29666</v>
      </c>
      <c r="H18" s="46">
        <v>207300</v>
      </c>
      <c r="I18" s="46">
        <v>0</v>
      </c>
      <c r="J18" s="46">
        <f>C18+D18-E18-G18-H18</f>
        <v>280881</v>
      </c>
      <c r="K18" s="50">
        <f t="shared" si="1"/>
        <v>36.950000000000003</v>
      </c>
      <c r="L18" s="50">
        <f>F18*100/F19</f>
        <v>8.3452407660306172</v>
      </c>
    </row>
    <row r="19" spans="1:12" s="39" customFormat="1" ht="18" customHeight="1" x14ac:dyDescent="0.25">
      <c r="A19" s="33" t="s">
        <v>14</v>
      </c>
      <c r="B19" s="33">
        <f>SUM(B7:B18)</f>
        <v>3450000</v>
      </c>
      <c r="C19" s="33"/>
      <c r="D19" s="57">
        <f>SUM(D7:D18)</f>
        <v>1340252</v>
      </c>
      <c r="E19" s="33">
        <f>SUM(E7:E18)</f>
        <v>11950</v>
      </c>
      <c r="F19" s="58">
        <f>SUM(F7:F18)</f>
        <v>1328302</v>
      </c>
      <c r="G19" s="33">
        <f>SUM(G7:G18)</f>
        <v>86542</v>
      </c>
      <c r="H19" s="33">
        <f>SUM(H7:H18)</f>
        <v>960879</v>
      </c>
      <c r="I19" s="33"/>
      <c r="J19" s="33"/>
      <c r="K19" s="59">
        <f>F19*100/B19</f>
        <v>38.501507246376811</v>
      </c>
      <c r="L19" s="59"/>
    </row>
    <row r="21" spans="1:12" ht="17.25" customHeight="1" x14ac:dyDescent="0.2">
      <c r="A21" s="118" t="s">
        <v>48</v>
      </c>
      <c r="D21" s="31">
        <f>F19/11</f>
        <v>120754.72727272728</v>
      </c>
    </row>
    <row r="22" spans="1:12" ht="17.25" customHeight="1" x14ac:dyDescent="0.2">
      <c r="A22" s="118" t="s">
        <v>47</v>
      </c>
      <c r="D22" s="31">
        <f>B19/12</f>
        <v>287500</v>
      </c>
    </row>
    <row r="23" spans="1:12" ht="17.25" customHeight="1" x14ac:dyDescent="0.2">
      <c r="A23" s="118" t="s">
        <v>45</v>
      </c>
      <c r="D23" s="31">
        <f>H19/11</f>
        <v>87352.636363636368</v>
      </c>
    </row>
    <row r="24" spans="1:12" ht="17.25" customHeight="1" x14ac:dyDescent="0.2">
      <c r="A24" s="118" t="s">
        <v>46</v>
      </c>
      <c r="D24" s="30">
        <v>0.38500000000000001</v>
      </c>
      <c r="G24" s="31"/>
      <c r="J24" s="31"/>
    </row>
    <row r="25" spans="1:12" ht="17.25" customHeight="1" x14ac:dyDescent="0.2">
      <c r="A25" s="118" t="s">
        <v>49</v>
      </c>
      <c r="D25" s="30">
        <v>0.61499999999999999</v>
      </c>
    </row>
    <row r="27" spans="1:12" x14ac:dyDescent="0.2">
      <c r="J27" s="117" t="s">
        <v>69</v>
      </c>
    </row>
    <row r="28" spans="1:12" x14ac:dyDescent="0.2">
      <c r="J28" s="117" t="s">
        <v>70</v>
      </c>
    </row>
  </sheetData>
  <mergeCells count="3">
    <mergeCell ref="A1:L1"/>
    <mergeCell ref="A2:L2"/>
    <mergeCell ref="A3:L3"/>
  </mergeCells>
  <pageMargins left="0.5" right="0" top="0.75" bottom="0.75" header="0.3" footer="0.3"/>
  <pageSetup paperSize="9"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8"/>
  <sheetViews>
    <sheetView view="pageLayout" topLeftCell="A16" zoomScaleNormal="100" workbookViewId="0">
      <selection activeCell="G26" sqref="G26"/>
    </sheetView>
  </sheetViews>
  <sheetFormatPr defaultRowHeight="15" x14ac:dyDescent="0.25"/>
  <cols>
    <col min="1" max="1" width="10.85546875" bestFit="1" customWidth="1"/>
    <col min="2" max="2" width="12.42578125" bestFit="1" customWidth="1"/>
    <col min="3" max="3" width="13.85546875" bestFit="1" customWidth="1"/>
    <col min="4" max="4" width="17.7109375" customWidth="1"/>
    <col min="5" max="5" width="10.28515625" customWidth="1"/>
    <col min="6" max="6" width="11.140625" customWidth="1"/>
    <col min="7" max="7" width="10" bestFit="1" customWidth="1"/>
    <col min="8" max="8" width="11.42578125" customWidth="1"/>
    <col min="9" max="9" width="9.5703125" customWidth="1"/>
    <col min="10" max="10" width="11" customWidth="1"/>
    <col min="11" max="11" width="15" bestFit="1" customWidth="1"/>
    <col min="12" max="12" width="9.85546875" bestFit="1" customWidth="1"/>
  </cols>
  <sheetData>
    <row r="1" spans="1:12" ht="25.5" x14ac:dyDescent="0.35">
      <c r="A1" s="138" t="s">
        <v>15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</row>
    <row r="2" spans="1:12" ht="23.25" x14ac:dyDescent="0.35">
      <c r="A2" s="133" t="s">
        <v>33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</row>
    <row r="3" spans="1:12" ht="18.75" x14ac:dyDescent="0.25">
      <c r="A3" s="129" t="s">
        <v>36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</row>
    <row r="4" spans="1:12" x14ac:dyDescent="0.25">
      <c r="A4" s="1"/>
      <c r="B4" s="1"/>
      <c r="C4" s="1"/>
      <c r="E4" s="26"/>
      <c r="F4" s="26"/>
      <c r="G4" s="26"/>
      <c r="H4" s="26"/>
      <c r="I4" s="25" t="s">
        <v>52</v>
      </c>
      <c r="J4" s="1"/>
      <c r="K4" s="1"/>
      <c r="L4" s="1"/>
    </row>
    <row r="5" spans="1:12" s="67" customFormat="1" ht="17.25" customHeight="1" x14ac:dyDescent="0.2">
      <c r="A5" s="62" t="s">
        <v>1</v>
      </c>
      <c r="B5" s="63" t="s">
        <v>2</v>
      </c>
      <c r="C5" s="64" t="s">
        <v>3</v>
      </c>
      <c r="D5" s="63" t="s">
        <v>4</v>
      </c>
      <c r="E5" s="63" t="s">
        <v>5</v>
      </c>
      <c r="F5" s="63" t="s">
        <v>6</v>
      </c>
      <c r="G5" s="64" t="s">
        <v>7</v>
      </c>
      <c r="H5" s="63" t="s">
        <v>8</v>
      </c>
      <c r="I5" s="63" t="s">
        <v>9</v>
      </c>
      <c r="J5" s="64" t="s">
        <v>10</v>
      </c>
      <c r="K5" s="65" t="s">
        <v>2</v>
      </c>
      <c r="L5" s="66" t="s">
        <v>11</v>
      </c>
    </row>
    <row r="6" spans="1:12" s="67" customFormat="1" ht="17.25" customHeight="1" x14ac:dyDescent="0.2">
      <c r="A6" s="68"/>
      <c r="B6" s="69"/>
      <c r="C6" s="70"/>
      <c r="D6" s="69"/>
      <c r="E6" s="69"/>
      <c r="F6" s="69"/>
      <c r="G6" s="70"/>
      <c r="H6" s="69"/>
      <c r="I6" s="69"/>
      <c r="J6" s="70"/>
      <c r="K6" s="71" t="s">
        <v>12</v>
      </c>
      <c r="L6" s="72" t="s">
        <v>13</v>
      </c>
    </row>
    <row r="7" spans="1:12" s="67" customFormat="1" ht="17.25" customHeight="1" x14ac:dyDescent="0.2">
      <c r="A7" s="73" t="s">
        <v>16</v>
      </c>
      <c r="B7" s="63">
        <v>250000</v>
      </c>
      <c r="C7" s="75">
        <v>156443</v>
      </c>
      <c r="D7" s="76">
        <v>139820</v>
      </c>
      <c r="E7" s="75"/>
      <c r="F7" s="75">
        <v>139820</v>
      </c>
      <c r="G7" s="75">
        <v>1735</v>
      </c>
      <c r="H7" s="75">
        <v>66665</v>
      </c>
      <c r="I7" s="77"/>
      <c r="J7" s="75">
        <f>C7+D7-E7-G7-H7-I7</f>
        <v>227863</v>
      </c>
      <c r="K7" s="78">
        <f>F7*100/B7</f>
        <v>55.927999999999997</v>
      </c>
      <c r="L7" s="89">
        <f>100*F7/F19</f>
        <v>16.016220117068926</v>
      </c>
    </row>
    <row r="8" spans="1:12" s="67" customFormat="1" ht="17.25" customHeight="1" x14ac:dyDescent="0.2">
      <c r="A8" s="80" t="s">
        <v>17</v>
      </c>
      <c r="B8" s="91">
        <v>250000</v>
      </c>
      <c r="C8" s="75">
        <v>227863</v>
      </c>
      <c r="D8" s="76">
        <v>117275</v>
      </c>
      <c r="E8" s="75">
        <v>6750</v>
      </c>
      <c r="F8" s="75">
        <f>D8-E8</f>
        <v>110525</v>
      </c>
      <c r="G8" s="75">
        <v>3955</v>
      </c>
      <c r="H8" s="75">
        <v>162070</v>
      </c>
      <c r="I8" s="75"/>
      <c r="J8" s="75">
        <f t="shared" ref="J8:J18" si="0">C8+D8-E8-G8-H8-I8</f>
        <v>172363</v>
      </c>
      <c r="K8" s="78">
        <f t="shared" ref="K8:K18" si="1">F8*100/B8</f>
        <v>44.21</v>
      </c>
      <c r="L8" s="89">
        <f>100*F8/F19</f>
        <v>12.660511575161227</v>
      </c>
    </row>
    <row r="9" spans="1:12" s="67" customFormat="1" ht="17.25" customHeight="1" x14ac:dyDescent="0.2">
      <c r="A9" s="80" t="s">
        <v>18</v>
      </c>
      <c r="B9" s="91">
        <v>250000</v>
      </c>
      <c r="C9" s="75">
        <v>172363</v>
      </c>
      <c r="D9" s="76">
        <v>109810</v>
      </c>
      <c r="E9" s="81"/>
      <c r="F9" s="75">
        <v>109810</v>
      </c>
      <c r="G9" s="75">
        <v>2578</v>
      </c>
      <c r="H9" s="75">
        <v>53032</v>
      </c>
      <c r="I9" s="75"/>
      <c r="J9" s="75">
        <f t="shared" si="0"/>
        <v>226563</v>
      </c>
      <c r="K9" s="78">
        <f t="shared" si="1"/>
        <v>43.923999999999999</v>
      </c>
      <c r="L9" s="89">
        <f>100*F9/F19</f>
        <v>12.578609147871109</v>
      </c>
    </row>
    <row r="10" spans="1:12" s="67" customFormat="1" ht="17.25" customHeight="1" x14ac:dyDescent="0.2">
      <c r="A10" s="80" t="s">
        <v>19</v>
      </c>
      <c r="B10" s="91">
        <v>300000</v>
      </c>
      <c r="C10" s="75">
        <v>226563</v>
      </c>
      <c r="D10" s="76">
        <v>84400</v>
      </c>
      <c r="E10" s="75"/>
      <c r="F10" s="75">
        <v>84400</v>
      </c>
      <c r="G10" s="75">
        <v>1740</v>
      </c>
      <c r="H10" s="75">
        <v>77910</v>
      </c>
      <c r="I10" s="75"/>
      <c r="J10" s="75">
        <f t="shared" si="0"/>
        <v>231313</v>
      </c>
      <c r="K10" s="78">
        <f t="shared" si="1"/>
        <v>28.133333333333333</v>
      </c>
      <c r="L10" s="89">
        <f>100*F10/F19</f>
        <v>9.6679228857146136</v>
      </c>
    </row>
    <row r="11" spans="1:12" s="67" customFormat="1" ht="17.25" customHeight="1" x14ac:dyDescent="0.2">
      <c r="A11" s="73" t="s">
        <v>28</v>
      </c>
      <c r="B11" s="63">
        <v>300000</v>
      </c>
      <c r="C11" s="75">
        <v>231313</v>
      </c>
      <c r="D11" s="76">
        <v>21700</v>
      </c>
      <c r="E11" s="75">
        <v>4420</v>
      </c>
      <c r="F11" s="75">
        <f>D11-E11</f>
        <v>17280</v>
      </c>
      <c r="G11" s="75">
        <v>740</v>
      </c>
      <c r="H11" s="75">
        <v>22915</v>
      </c>
      <c r="I11" s="75"/>
      <c r="J11" s="75">
        <f t="shared" si="0"/>
        <v>224938</v>
      </c>
      <c r="K11" s="78">
        <f t="shared" si="1"/>
        <v>5.76</v>
      </c>
      <c r="L11" s="89">
        <f>100*F11/F19</f>
        <v>1.979404116885646</v>
      </c>
    </row>
    <row r="12" spans="1:12" s="67" customFormat="1" ht="17.25" customHeight="1" x14ac:dyDescent="0.2">
      <c r="A12" s="80" t="s">
        <v>21</v>
      </c>
      <c r="B12" s="91">
        <v>300000</v>
      </c>
      <c r="C12" s="75">
        <v>224938</v>
      </c>
      <c r="D12" s="76">
        <v>100050</v>
      </c>
      <c r="E12" s="75"/>
      <c r="F12" s="75">
        <v>100050</v>
      </c>
      <c r="G12" s="75">
        <v>336</v>
      </c>
      <c r="H12" s="75">
        <v>22000</v>
      </c>
      <c r="I12" s="75"/>
      <c r="J12" s="75">
        <f t="shared" si="0"/>
        <v>302652</v>
      </c>
      <c r="K12" s="78">
        <f t="shared" si="1"/>
        <v>33.35</v>
      </c>
      <c r="L12" s="89">
        <f>100*F12/F19</f>
        <v>11.460612378148662</v>
      </c>
    </row>
    <row r="13" spans="1:12" s="67" customFormat="1" ht="17.25" customHeight="1" x14ac:dyDescent="0.2">
      <c r="A13" s="80" t="s">
        <v>22</v>
      </c>
      <c r="B13" s="91">
        <v>350000</v>
      </c>
      <c r="C13" s="75">
        <v>302652</v>
      </c>
      <c r="D13" s="76">
        <v>130150</v>
      </c>
      <c r="E13" s="75">
        <v>0</v>
      </c>
      <c r="F13" s="75">
        <f>D13-E13</f>
        <v>130150</v>
      </c>
      <c r="G13" s="75">
        <v>1382</v>
      </c>
      <c r="H13" s="75">
        <v>54632</v>
      </c>
      <c r="I13" s="75"/>
      <c r="J13" s="75">
        <f t="shared" si="0"/>
        <v>376788</v>
      </c>
      <c r="K13" s="78">
        <f t="shared" si="1"/>
        <v>37.185714285714283</v>
      </c>
      <c r="L13" s="89">
        <f>100*F13/F19</f>
        <v>14.908532743788589</v>
      </c>
    </row>
    <row r="14" spans="1:12" s="67" customFormat="1" ht="17.25" customHeight="1" x14ac:dyDescent="0.2">
      <c r="A14" s="73" t="s">
        <v>23</v>
      </c>
      <c r="B14" s="63">
        <v>350000</v>
      </c>
      <c r="C14" s="75">
        <v>376788</v>
      </c>
      <c r="D14" s="76">
        <v>62780</v>
      </c>
      <c r="E14" s="75">
        <v>0</v>
      </c>
      <c r="F14" s="75">
        <f t="shared" ref="F14:F18" si="2">D14-E14</f>
        <v>62780</v>
      </c>
      <c r="G14" s="75">
        <v>320</v>
      </c>
      <c r="H14" s="75">
        <v>17400</v>
      </c>
      <c r="I14" s="77"/>
      <c r="J14" s="75">
        <f t="shared" si="0"/>
        <v>421848</v>
      </c>
      <c r="K14" s="78">
        <f t="shared" si="1"/>
        <v>17.937142857142856</v>
      </c>
      <c r="L14" s="89">
        <f>100*F14/F19</f>
        <v>7.1913767626204192</v>
      </c>
    </row>
    <row r="15" spans="1:12" s="67" customFormat="1" ht="17.25" customHeight="1" x14ac:dyDescent="0.2">
      <c r="A15" s="83" t="s">
        <v>24</v>
      </c>
      <c r="B15" s="63">
        <v>350000</v>
      </c>
      <c r="C15" s="75">
        <v>421848</v>
      </c>
      <c r="D15" s="76">
        <v>46800</v>
      </c>
      <c r="E15" s="75">
        <v>0</v>
      </c>
      <c r="F15" s="75">
        <f t="shared" si="2"/>
        <v>46800</v>
      </c>
      <c r="G15" s="75">
        <v>744</v>
      </c>
      <c r="H15" s="75">
        <v>20000</v>
      </c>
      <c r="I15" s="75"/>
      <c r="J15" s="75">
        <f t="shared" si="0"/>
        <v>447904</v>
      </c>
      <c r="K15" s="78">
        <f t="shared" si="1"/>
        <v>13.371428571428572</v>
      </c>
      <c r="L15" s="89">
        <f>100*F15/F19</f>
        <v>5.360886149898624</v>
      </c>
    </row>
    <row r="16" spans="1:12" s="67" customFormat="1" ht="17.25" customHeight="1" x14ac:dyDescent="0.2">
      <c r="A16" s="74" t="s">
        <v>25</v>
      </c>
      <c r="B16" s="63">
        <v>300000</v>
      </c>
      <c r="C16" s="75">
        <v>447904</v>
      </c>
      <c r="D16" s="76">
        <v>87380</v>
      </c>
      <c r="E16" s="75">
        <v>0</v>
      </c>
      <c r="F16" s="75">
        <f t="shared" si="2"/>
        <v>87380</v>
      </c>
      <c r="G16" s="75">
        <v>0</v>
      </c>
      <c r="H16" s="75">
        <v>0</v>
      </c>
      <c r="I16" s="75"/>
      <c r="J16" s="75">
        <f>C16+D16-E16-G16-H16-I16</f>
        <v>535284</v>
      </c>
      <c r="K16" s="78">
        <f t="shared" si="1"/>
        <v>29.126666666666665</v>
      </c>
      <c r="L16" s="89">
        <f>100*F16/F19</f>
        <v>10.009278456797901</v>
      </c>
    </row>
    <row r="17" spans="1:12" s="67" customFormat="1" ht="17.25" customHeight="1" x14ac:dyDescent="0.2">
      <c r="A17" s="74" t="s">
        <v>26</v>
      </c>
      <c r="B17" s="63">
        <v>300000</v>
      </c>
      <c r="C17" s="75">
        <v>535284</v>
      </c>
      <c r="D17" s="76">
        <v>0</v>
      </c>
      <c r="E17" s="75">
        <v>0</v>
      </c>
      <c r="F17" s="75">
        <f t="shared" si="2"/>
        <v>0</v>
      </c>
      <c r="G17" s="75">
        <v>0</v>
      </c>
      <c r="H17" s="75">
        <v>0</v>
      </c>
      <c r="I17" s="75"/>
      <c r="J17" s="75">
        <f t="shared" si="0"/>
        <v>535284</v>
      </c>
      <c r="K17" s="78">
        <f t="shared" si="1"/>
        <v>0</v>
      </c>
      <c r="L17" s="89">
        <f>100*F17/F19</f>
        <v>0</v>
      </c>
    </row>
    <row r="18" spans="1:12" s="67" customFormat="1" ht="17.25" customHeight="1" x14ac:dyDescent="0.2">
      <c r="A18" s="74" t="s">
        <v>27</v>
      </c>
      <c r="B18" s="63">
        <v>300000</v>
      </c>
      <c r="C18" s="75">
        <v>535284</v>
      </c>
      <c r="D18" s="76">
        <v>4900</v>
      </c>
      <c r="E18" s="75">
        <v>20905</v>
      </c>
      <c r="F18" s="75">
        <f t="shared" si="2"/>
        <v>-16005</v>
      </c>
      <c r="G18" s="75">
        <v>6645</v>
      </c>
      <c r="H18" s="75">
        <v>55000</v>
      </c>
      <c r="I18" s="75"/>
      <c r="J18" s="75">
        <f t="shared" si="0"/>
        <v>457634</v>
      </c>
      <c r="K18" s="78">
        <f t="shared" si="1"/>
        <v>-5.335</v>
      </c>
      <c r="L18" s="89">
        <f>100*F18/F19</f>
        <v>-1.8333543339557155</v>
      </c>
    </row>
    <row r="19" spans="1:12" s="67" customFormat="1" ht="17.25" customHeight="1" x14ac:dyDescent="0.2">
      <c r="A19" s="32" t="s">
        <v>14</v>
      </c>
      <c r="B19" s="32">
        <f>SUM(B7:B18)</f>
        <v>3600000</v>
      </c>
      <c r="C19" s="32"/>
      <c r="D19" s="84">
        <f>SUM(D7:D18)</f>
        <v>905065</v>
      </c>
      <c r="E19" s="32">
        <f>SUM(E7:E18)</f>
        <v>32075</v>
      </c>
      <c r="F19" s="32">
        <f>SUM(F7:F18)</f>
        <v>872990</v>
      </c>
      <c r="G19" s="32">
        <f>SUM(G7:G18)</f>
        <v>20175</v>
      </c>
      <c r="H19" s="32">
        <f>SUM(H7:H18)</f>
        <v>551624</v>
      </c>
      <c r="I19" s="32"/>
      <c r="J19" s="75"/>
      <c r="K19" s="93">
        <f>(D19-E19)*100/B19</f>
        <v>24.249722222222221</v>
      </c>
      <c r="L19" s="93"/>
    </row>
    <row r="21" spans="1:12" s="29" customFormat="1" ht="17.25" customHeight="1" x14ac:dyDescent="0.2">
      <c r="A21" s="28" t="s">
        <v>48</v>
      </c>
      <c r="D21" s="31">
        <f>F19/12</f>
        <v>72749.166666666672</v>
      </c>
    </row>
    <row r="22" spans="1:12" s="29" customFormat="1" ht="17.25" customHeight="1" x14ac:dyDescent="0.2">
      <c r="A22" s="28" t="s">
        <v>47</v>
      </c>
      <c r="D22" s="31">
        <f>B19/12</f>
        <v>300000</v>
      </c>
    </row>
    <row r="23" spans="1:12" s="29" customFormat="1" ht="17.25" customHeight="1" x14ac:dyDescent="0.2">
      <c r="A23" s="28" t="s">
        <v>45</v>
      </c>
      <c r="D23" s="31">
        <f>H19/12</f>
        <v>45968.666666666664</v>
      </c>
    </row>
    <row r="24" spans="1:12" s="29" customFormat="1" ht="17.25" customHeight="1" x14ac:dyDescent="0.2">
      <c r="A24" s="28" t="s">
        <v>46</v>
      </c>
      <c r="D24" s="30">
        <v>0.24249999999999999</v>
      </c>
      <c r="G24" s="31"/>
      <c r="J24" s="31"/>
    </row>
    <row r="25" spans="1:12" s="29" customFormat="1" ht="17.25" customHeight="1" x14ac:dyDescent="0.2">
      <c r="A25" s="28" t="s">
        <v>49</v>
      </c>
      <c r="D25" s="30">
        <v>0.75749999999999995</v>
      </c>
    </row>
    <row r="26" spans="1:12" s="29" customFormat="1" ht="14.25" x14ac:dyDescent="0.2"/>
    <row r="27" spans="1:12" s="29" customFormat="1" ht="14.25" x14ac:dyDescent="0.2">
      <c r="J27" s="117" t="s">
        <v>69</v>
      </c>
    </row>
    <row r="28" spans="1:12" s="29" customFormat="1" ht="14.25" x14ac:dyDescent="0.2">
      <c r="J28" s="117" t="s">
        <v>70</v>
      </c>
    </row>
  </sheetData>
  <mergeCells count="3">
    <mergeCell ref="A1:L1"/>
    <mergeCell ref="A2:L2"/>
    <mergeCell ref="A3:L3"/>
  </mergeCells>
  <pageMargins left="0.25" right="0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ওয়ার্কশিটগুলো</vt:lpstr>
      </vt:variant>
      <vt:variant>
        <vt:i4>13</vt:i4>
      </vt:variant>
    </vt:vector>
  </HeadingPairs>
  <TitlesOfParts>
    <vt:vector size="13" baseType="lpstr">
      <vt:lpstr>Magpie-1</vt:lpstr>
      <vt:lpstr>Magpie-2</vt:lpstr>
      <vt:lpstr>Magpie-3</vt:lpstr>
      <vt:lpstr>Magpie-4</vt:lpstr>
      <vt:lpstr>Kingfisher-1</vt:lpstr>
      <vt:lpstr>Kingfisher- 2</vt:lpstr>
      <vt:lpstr>Kingfisher-3</vt:lpstr>
      <vt:lpstr>Kingfisher-4</vt:lpstr>
      <vt:lpstr>Bogra</vt:lpstr>
      <vt:lpstr>Feni</vt:lpstr>
      <vt:lpstr>Jessore</vt:lpstr>
      <vt:lpstr>Bakra</vt:lpstr>
      <vt:lpstr>Fulpur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2026-06-27T08:08:58Z</dcterms:modified>
</cp:coreProperties>
</file>