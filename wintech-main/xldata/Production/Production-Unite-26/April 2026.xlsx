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7940183D-68F7-4F81-86C2-71EDC2D14932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7" i="9"/>
  <c r="J17" i="9" s="1"/>
  <c r="D19" i="9"/>
  <c r="J19" i="9" s="1"/>
  <c r="D15" i="9"/>
  <c r="D10" i="9"/>
  <c r="D11" i="9"/>
  <c r="J11" i="9" s="1"/>
  <c r="D12" i="9"/>
  <c r="D13" i="9"/>
  <c r="J13" i="9" s="1"/>
  <c r="D14" i="9"/>
  <c r="D9" i="9"/>
  <c r="D7" i="9"/>
  <c r="J7" i="9" s="1"/>
  <c r="J15" i="9"/>
  <c r="J14" i="9"/>
  <c r="J12" i="9"/>
  <c r="J10" i="9"/>
  <c r="J9" i="9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<sst xmlns="http://schemas.openxmlformats.org/spreadsheetml/2006/main" count="56" uniqueCount="44">
  <si>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</si>
  <si>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</si>
  <si>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</si>
  <si>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</si>
  <si>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</si>
  <si>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</si>
  <si>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</si>
  <si>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</si>
  <si>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</si>
  <si>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</si>
  <si>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</si>
  <si>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</si>
  <si>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</si>
  <si>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</si>
  <si>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</si>
  <si>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</si>
  <si>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</si>
  <si>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</si>
  <si>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</si>
  <si>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</si>
  <si>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</si>
  <si>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April 2026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</si>
  <si>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</si>
  <si>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</si>
  <si>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</si>
  <si>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</si>
  <si>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</si>
  <si>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</si>
  <si>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</si>
  <si>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</si>
  <si>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</si>
  <si>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Quantity Kg/Litter  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</si>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</sst>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3AA-1FDA-4059-B48E-2527A60E7F16}">
  <dimension ref="A1:K25"/>
  <sheetViews>
    <sheetView tabSelected="1" workbookViewId="0">
      <selection activeCell="J7" sqref="J7:J8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21</v>
      </c>
      <c r="B4" s="1"/>
      <c r="C4" s="1"/>
      <c r="D4" s="1"/>
      <c r="E4" s="1"/>
      <c r="F4" s="1"/>
      <c r="G4" s="1"/>
      <c r="H4" s="1"/>
      <c r="I4" s="1"/>
      <c r="K4" s="2"/>
    </row>
    <row r="5" spans="1:11" s="9" customFormat="1" ht="18" customHeight="1" x14ac:dyDescent="0.25">
      <c r="A5" s="20" t="s">
        <v>3</v>
      </c>
      <c r="B5" s="8" t="s">
        <v>23</v>
      </c>
      <c r="C5" s="8" t="s">
        <v>24</v>
      </c>
      <c r="D5" s="8" t="s">
        <v>4</v>
      </c>
      <c r="E5" s="8" t="s">
        <v>0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21" t="s">
        <v>5</v>
      </c>
    </row>
    <row r="6" spans="1:11" s="9" customFormat="1" ht="18" customHeight="1" x14ac:dyDescent="0.25">
      <c r="A6" s="20"/>
      <c r="B6" s="10" t="s">
        <v>30</v>
      </c>
      <c r="C6" s="10" t="s">
        <v>31</v>
      </c>
      <c r="D6" s="10" t="s">
        <v>6</v>
      </c>
      <c r="E6" s="10" t="s">
        <v>32</v>
      </c>
      <c r="F6" s="10" t="s">
        <v>33</v>
      </c>
      <c r="G6" s="10" t="s">
        <v>34</v>
      </c>
      <c r="H6" s="10" t="s">
        <v>34</v>
      </c>
      <c r="I6" s="10" t="s">
        <v>35</v>
      </c>
      <c r="J6" s="10" t="s">
        <v>35</v>
      </c>
      <c r="K6" s="22"/>
    </row>
    <row r="7" spans="1:11" ht="18" customHeight="1" x14ac:dyDescent="0.25">
      <c r="A7" s="11" t="s">
        <v>7</v>
      </c>
      <c r="B7" s="25">
        <v>176</v>
      </c>
      <c r="C7" s="23"/>
      <c r="D7" s="27">
        <f>B7+C7</f>
        <v>176</v>
      </c>
      <c r="E7" s="12" t="s">
        <v>8</v>
      </c>
      <c r="F7" s="13"/>
      <c r="G7" s="12"/>
      <c r="H7" s="23">
        <v>100</v>
      </c>
      <c r="I7" s="23"/>
      <c r="J7" s="23">
        <f>D7-H7-I7</f>
        <v>76</v>
      </c>
      <c r="K7" s="12"/>
    </row>
    <row r="8" spans="1:11" ht="18" customHeight="1" x14ac:dyDescent="0.25">
      <c r="A8" s="11" t="s">
        <v>7</v>
      </c>
      <c r="B8" s="26"/>
      <c r="C8" s="24"/>
      <c r="D8" s="28"/>
      <c r="E8" s="12" t="s">
        <v>1</v>
      </c>
      <c r="F8" s="13">
        <v>200</v>
      </c>
      <c r="G8" s="12"/>
      <c r="H8" s="24"/>
      <c r="I8" s="24"/>
      <c r="J8" s="24"/>
      <c r="K8" s="12"/>
    </row>
    <row r="9" spans="1:11" ht="18" customHeight="1" x14ac:dyDescent="0.25">
      <c r="A9" s="11" t="s">
        <v>9</v>
      </c>
      <c r="B9" s="14">
        <v>2400</v>
      </c>
      <c r="C9" s="12"/>
      <c r="D9" s="12">
        <f>B9+C9</f>
        <v>2400</v>
      </c>
      <c r="E9" s="12" t="s">
        <v>36</v>
      </c>
      <c r="F9" s="13">
        <v>220</v>
      </c>
      <c r="G9" s="13"/>
      <c r="H9" s="12">
        <v>1100</v>
      </c>
      <c r="I9" s="12"/>
      <c r="J9" s="12">
        <f>D9-H9-I9</f>
        <v>1300</v>
      </c>
      <c r="K9" s="12"/>
    </row>
    <row r="10" spans="1:11" ht="18" customHeight="1" x14ac:dyDescent="0.25">
      <c r="A10" s="11" t="s">
        <v>10</v>
      </c>
      <c r="B10" s="14">
        <v>0</v>
      </c>
      <c r="C10" s="12"/>
      <c r="D10" s="12">
        <f t="shared" ref="D10:D14" si="0">B10+C10</f>
        <v>0</v>
      </c>
      <c r="E10" s="12" t="s">
        <v>37</v>
      </c>
      <c r="F10" s="13"/>
      <c r="G10" s="13"/>
      <c r="H10" s="12"/>
      <c r="I10" s="23"/>
      <c r="J10" s="12">
        <f t="shared" ref="J10:J15" si="1">D10-H10</f>
        <v>0</v>
      </c>
      <c r="K10" s="12"/>
    </row>
    <row r="11" spans="1:11" ht="18" customHeight="1" x14ac:dyDescent="0.25">
      <c r="A11" s="11" t="s">
        <v>10</v>
      </c>
      <c r="B11" s="14">
        <v>0</v>
      </c>
      <c r="C11" s="12"/>
      <c r="D11" s="12">
        <f t="shared" si="0"/>
        <v>0</v>
      </c>
      <c r="E11" s="12" t="s">
        <v>1</v>
      </c>
      <c r="F11" s="13"/>
      <c r="G11" s="13"/>
      <c r="H11" s="12"/>
      <c r="I11" s="24"/>
      <c r="J11" s="12">
        <f t="shared" si="1"/>
        <v>0</v>
      </c>
      <c r="K11" s="12"/>
    </row>
    <row r="12" spans="1:11" ht="18" customHeight="1" x14ac:dyDescent="0.25">
      <c r="A12" s="11" t="s">
        <v>12</v>
      </c>
      <c r="B12" s="14">
        <v>480</v>
      </c>
      <c r="C12" s="12"/>
      <c r="D12" s="12">
        <f t="shared" si="0"/>
        <v>480</v>
      </c>
      <c r="E12" s="12" t="s">
        <v>38</v>
      </c>
      <c r="F12" s="13">
        <v>367</v>
      </c>
      <c r="G12" s="13"/>
      <c r="H12" s="12">
        <v>367</v>
      </c>
      <c r="I12" s="12"/>
      <c r="J12" s="12">
        <f t="shared" si="1"/>
        <v>113</v>
      </c>
      <c r="K12" s="12"/>
    </row>
    <row r="13" spans="1:11" ht="18" customHeight="1" x14ac:dyDescent="0.25">
      <c r="A13" s="11" t="s">
        <v>13</v>
      </c>
      <c r="B13" s="14">
        <v>1340</v>
      </c>
      <c r="C13" s="12"/>
      <c r="D13" s="12">
        <f t="shared" si="0"/>
        <v>1340</v>
      </c>
      <c r="E13" s="12" t="s">
        <v>11</v>
      </c>
      <c r="F13" s="13">
        <v>480</v>
      </c>
      <c r="G13" s="13"/>
      <c r="H13" s="12">
        <v>240</v>
      </c>
      <c r="I13" s="12"/>
      <c r="J13" s="12">
        <f>D13-H13-I13</f>
        <v>1100</v>
      </c>
      <c r="K13" s="12"/>
    </row>
    <row r="14" spans="1:11" ht="18" customHeight="1" x14ac:dyDescent="0.25">
      <c r="A14" s="11" t="s">
        <v>16</v>
      </c>
      <c r="B14" s="14">
        <v>303.5</v>
      </c>
      <c r="C14" s="12"/>
      <c r="D14" s="12">
        <f t="shared" si="0"/>
        <v>303.5</v>
      </c>
      <c r="E14" s="12" t="s">
        <v>11</v>
      </c>
      <c r="F14" s="13">
        <v>260</v>
      </c>
      <c r="G14" s="13"/>
      <c r="H14" s="12">
        <v>130</v>
      </c>
      <c r="I14" s="12"/>
      <c r="J14" s="12">
        <f t="shared" si="1"/>
        <v>173.5</v>
      </c>
      <c r="K14" s="12"/>
    </row>
    <row r="15" spans="1:11" ht="18" customHeight="1" x14ac:dyDescent="0.25">
      <c r="A15" s="11" t="s">
        <v>18</v>
      </c>
      <c r="B15" s="25">
        <v>34.9</v>
      </c>
      <c r="C15" s="23"/>
      <c r="D15" s="23">
        <f>B15+C15</f>
        <v>34.9</v>
      </c>
      <c r="E15" s="12" t="s">
        <v>39</v>
      </c>
      <c r="F15" s="13"/>
      <c r="G15" s="13"/>
      <c r="H15" s="23"/>
      <c r="I15" s="23"/>
      <c r="J15" s="23">
        <f t="shared" si="1"/>
        <v>34.9</v>
      </c>
      <c r="K15" s="12"/>
    </row>
    <row r="16" spans="1:11" ht="18" customHeight="1" x14ac:dyDescent="0.25">
      <c r="A16" s="11" t="s">
        <v>18</v>
      </c>
      <c r="B16" s="26"/>
      <c r="C16" s="24"/>
      <c r="D16" s="24"/>
      <c r="E16" s="12" t="s">
        <v>40</v>
      </c>
      <c r="F16" s="13"/>
      <c r="G16" s="13"/>
      <c r="H16" s="24"/>
      <c r="I16" s="24"/>
      <c r="J16" s="24"/>
      <c r="K16" s="12"/>
    </row>
    <row r="17" spans="1:11" ht="18" customHeight="1" x14ac:dyDescent="0.25">
      <c r="A17" s="11" t="s">
        <v>17</v>
      </c>
      <c r="B17" s="25">
        <v>565.1</v>
      </c>
      <c r="C17" s="23"/>
      <c r="D17" s="23">
        <f t="shared" ref="D17" si="2">B17+C17</f>
        <v>565.1</v>
      </c>
      <c r="E17" s="12" t="s">
        <v>41</v>
      </c>
      <c r="F17" s="13">
        <v>1000</v>
      </c>
      <c r="G17" s="13">
        <v>50</v>
      </c>
      <c r="H17" s="23">
        <v>184.4</v>
      </c>
      <c r="I17" s="23"/>
      <c r="J17" s="23">
        <f>D17-H17-I17</f>
        <v>380.70000000000005</v>
      </c>
      <c r="K17" s="12"/>
    </row>
    <row r="18" spans="1:11" ht="18" customHeight="1" x14ac:dyDescent="0.25">
      <c r="A18" s="11" t="s">
        <v>17</v>
      </c>
      <c r="B18" s="26"/>
      <c r="C18" s="24"/>
      <c r="D18" s="24"/>
      <c r="E18" s="12" t="s">
        <v>42</v>
      </c>
      <c r="F18" s="13">
        <v>672</v>
      </c>
      <c r="G18" s="13">
        <v>134.4</v>
      </c>
      <c r="H18" s="24"/>
      <c r="I18" s="24"/>
      <c r="J18" s="24"/>
      <c r="K18" s="12"/>
    </row>
    <row r="19" spans="1:11" ht="18" customHeight="1" x14ac:dyDescent="0.25">
      <c r="A19" s="11" t="s">
        <v>14</v>
      </c>
      <c r="B19" s="25">
        <v>0</v>
      </c>
      <c r="C19" s="23"/>
      <c r="D19" s="23">
        <f t="shared" ref="D19" si="3">B19+C19</f>
        <v>0</v>
      </c>
      <c r="E19" s="12" t="s">
        <v>39</v>
      </c>
      <c r="F19" s="13"/>
      <c r="G19" s="13"/>
      <c r="H19" s="23"/>
      <c r="I19" s="23"/>
      <c r="J19" s="23">
        <f>D19-H19</f>
        <v>0</v>
      </c>
      <c r="K19" s="12"/>
    </row>
    <row r="20" spans="1:11" ht="18" customHeight="1" x14ac:dyDescent="0.25">
      <c r="A20" s="11" t="s">
        <v>14</v>
      </c>
      <c r="B20" s="26"/>
      <c r="C20" s="24"/>
      <c r="D20" s="24"/>
      <c r="E20" s="12" t="s">
        <v>40</v>
      </c>
      <c r="F20" s="13"/>
      <c r="G20" s="13"/>
      <c r="H20" s="24"/>
      <c r="I20" s="24"/>
      <c r="J20" s="24"/>
      <c r="K20" s="12"/>
    </row>
    <row r="21" spans="1:11" ht="18" customHeight="1" x14ac:dyDescent="0.25">
      <c r="A21" s="11" t="s">
        <v>15</v>
      </c>
      <c r="B21" s="14">
        <v>0</v>
      </c>
      <c r="C21" s="12"/>
      <c r="D21" s="12">
        <f>B21+C21</f>
        <v>0</v>
      </c>
      <c r="E21" s="12" t="s">
        <v>37</v>
      </c>
      <c r="F21" s="13"/>
      <c r="G21" s="13"/>
      <c r="H21" s="12"/>
      <c r="I21" s="12"/>
      <c r="J21" s="12">
        <f>D21-H21</f>
        <v>0</v>
      </c>
      <c r="K21" s="12"/>
    </row>
    <row r="22" spans="1:11" ht="18" customHeight="1" x14ac:dyDescent="0.25">
      <c r="A22" s="15"/>
      <c r="B22" s="16"/>
      <c r="C22" s="7"/>
      <c r="D22" s="7"/>
      <c r="E22" s="7"/>
      <c r="F22" s="7"/>
      <c r="G22" s="7"/>
      <c r="H22" s="7"/>
      <c r="I22" s="7"/>
      <c r="J22" s="7"/>
      <c r="K22" s="7"/>
    </row>
    <row r="23" spans="1:11" ht="22.5" customHeight="1" x14ac:dyDescent="0.25">
      <c r="A23" s="15"/>
      <c r="B23" s="16"/>
      <c r="C23" s="7"/>
      <c r="D23" s="7"/>
      <c r="E23" s="7"/>
      <c r="F23" s="7"/>
      <c r="G23" s="7"/>
      <c r="H23" s="7"/>
      <c r="I23" s="7"/>
      <c r="J23" s="7"/>
      <c r="K23" s="7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19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20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2026-06-29T11:43:28Z</dcterms:modified>
</cp:coreProperties>
</file>