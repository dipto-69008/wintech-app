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7AD8F970-BAB7-4B9F-AD4C-B2FFF79116C4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9" l="1"/>
  <c r="J15" i="9" s="1"/>
  <c r="D10" i="9"/>
  <c r="J10" i="9" s="1"/>
  <c r="D11" i="9"/>
  <c r="J11" i="9" s="1"/>
  <c r="D12" i="9"/>
  <c r="J12" i="9" s="1"/>
  <c r="D13" i="9"/>
  <c r="J13" i="9" s="1"/>
  <c r="D14" i="9"/>
  <c r="J14" i="9" s="1"/>
  <c r="D17" i="9"/>
  <c r="J17" i="9" s="1"/>
  <c r="D19" i="9"/>
  <c r="J19" i="9" s="1"/>
  <c r="D21" i="9"/>
  <c r="J21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<sst xmlns="http://schemas.openxmlformats.org/spreadsheetml/2006/main" count="56" uniqueCount="45">
  <si>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</si>
  <si>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</si>
  <si>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</si>
  <si>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</si>
  <si>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</si>
  <si>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</si>
  <si>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</si>
  <si>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Quantity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</si>
  <si>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</si>
  <si>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</si>
  <si>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</si>
  <si>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</si>
  <si>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</si>
  <si>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</si>
  <si>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</si>
  <si>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</si>
  <si>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</si>
  <si>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</si>
  <si>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</si>
  <si>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</si>
  <si>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</si>
  <si>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</si>
  <si>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September 2025</t>
  </si>
  <si>
    <t xml:space="preserve">Previous Total </t>
  </si>
  <si>
    <t>Balance Kg/Litter</t>
  </si>
  <si>
    <t xml:space="preserve">Size </t>
  </si>
  <si>
    <t>Total Product</t>
  </si>
  <si>
    <t>Pcs Transfer</t>
  </si>
  <si>
    <t>Total Convert</t>
  </si>
  <si>
    <t xml:space="preserve"> Kg/Litter</t>
  </si>
  <si>
    <t>Present Balance</t>
  </si>
  <si>
    <t>Kg/Litter</t>
  </si>
  <si>
    <t>5 Kg</t>
  </si>
  <si>
    <t>100gm</t>
  </si>
  <si>
    <t>100ml</t>
  </si>
  <si>
    <t>500ml</t>
  </si>
  <si>
    <t xml:space="preserve">1 Kg </t>
  </si>
  <si>
    <t>50ml</t>
  </si>
  <si>
    <t>200ml</t>
  </si>
  <si>
    <t xml:space="preserve">Received </t>
  </si>
  <si>
    <t>Convert</t>
  </si>
  <si>
    <t>100GM</t>
  </si>
  <si>
    <t>Westgate</t>
  </si>
  <si>
    <t xml:space="preserve">Goalbari, Kaundia, Mirpur Borobazar, Savar, Dhaka-1218, Bangladesh </t>
  </si>
  <si>
    <t xml:space="preserve">Monthly Production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</si>
</sst>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EABD-6347-450B-94C8-E4CA1F1FC4A8}">
  <dimension ref="A1:K25"/>
  <sheetViews>
    <sheetView tabSelected="1" workbookViewId="0">
      <selection activeCell="K4" sqref="K4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0" bestFit="1" customWidth="1"/>
    <col min="4" max="4" width="9.140625" bestFit="1" customWidth="1"/>
    <col min="5" max="5" width="8" bestFit="1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21" t="s">
        <v>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22" t="s">
        <v>43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8" x14ac:dyDescent="0.25">
      <c r="A3" s="23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x14ac:dyDescent="0.25">
      <c r="A4" s="1" t="s">
        <v>22</v>
      </c>
      <c r="B4" s="1"/>
      <c r="C4" s="1"/>
      <c r="D4" s="1"/>
      <c r="E4" s="1"/>
      <c r="F4" s="1"/>
      <c r="G4" s="1"/>
      <c r="H4" s="1"/>
      <c r="I4" s="1"/>
      <c r="K4" s="2"/>
    </row>
    <row r="5" spans="1:11" s="11" customFormat="1" ht="18" customHeight="1" x14ac:dyDescent="0.25">
      <c r="A5" s="24" t="s">
        <v>3</v>
      </c>
      <c r="B5" s="10" t="s">
        <v>23</v>
      </c>
      <c r="C5" s="10" t="s">
        <v>39</v>
      </c>
      <c r="D5" s="10" t="s">
        <v>4</v>
      </c>
      <c r="E5" s="10" t="s">
        <v>0</v>
      </c>
      <c r="F5" s="10" t="s">
        <v>26</v>
      </c>
      <c r="G5" s="10" t="s">
        <v>40</v>
      </c>
      <c r="H5" s="10" t="s">
        <v>28</v>
      </c>
      <c r="I5" s="10" t="s">
        <v>42</v>
      </c>
      <c r="J5" s="10" t="s">
        <v>30</v>
      </c>
      <c r="K5" s="25" t="s">
        <v>5</v>
      </c>
    </row>
    <row r="6" spans="1:11" s="11" customFormat="1" ht="18" customHeight="1" x14ac:dyDescent="0.25">
      <c r="A6" s="24"/>
      <c r="B6" s="12" t="s">
        <v>24</v>
      </c>
      <c r="C6" s="12" t="s">
        <v>7</v>
      </c>
      <c r="D6" s="12" t="s">
        <v>6</v>
      </c>
      <c r="E6" s="12" t="s">
        <v>25</v>
      </c>
      <c r="F6" s="12" t="s">
        <v>27</v>
      </c>
      <c r="G6" s="12" t="s">
        <v>29</v>
      </c>
      <c r="H6" s="12" t="s">
        <v>29</v>
      </c>
      <c r="I6" s="12" t="s">
        <v>31</v>
      </c>
      <c r="J6" s="12" t="s">
        <v>31</v>
      </c>
      <c r="K6" s="26"/>
    </row>
    <row r="7" spans="1:11" ht="18" customHeight="1" x14ac:dyDescent="0.25">
      <c r="A7" s="13" t="s">
        <v>8</v>
      </c>
      <c r="B7" s="17">
        <v>139.5</v>
      </c>
      <c r="C7" s="19">
        <v>275</v>
      </c>
      <c r="D7" s="27">
        <f>B7+C7</f>
        <v>414.5</v>
      </c>
      <c r="E7" s="14" t="s">
        <v>9</v>
      </c>
      <c r="F7" s="15">
        <v>185</v>
      </c>
      <c r="G7" s="14">
        <v>18.5</v>
      </c>
      <c r="H7" s="19">
        <v>218.5</v>
      </c>
      <c r="I7" s="19">
        <v>4</v>
      </c>
      <c r="J7" s="19">
        <f>D7-H7-I7</f>
        <v>192</v>
      </c>
      <c r="K7" s="14"/>
    </row>
    <row r="8" spans="1:11" ht="18" customHeight="1" x14ac:dyDescent="0.25">
      <c r="A8" s="13" t="s">
        <v>8</v>
      </c>
      <c r="B8" s="18"/>
      <c r="C8" s="20"/>
      <c r="D8" s="28"/>
      <c r="E8" s="14" t="s">
        <v>1</v>
      </c>
      <c r="F8" s="15">
        <v>400</v>
      </c>
      <c r="G8" s="14">
        <v>200</v>
      </c>
      <c r="H8" s="20"/>
      <c r="I8" s="20"/>
      <c r="J8" s="20"/>
      <c r="K8" s="14"/>
    </row>
    <row r="9" spans="1:11" ht="18" customHeight="1" x14ac:dyDescent="0.25">
      <c r="A9" s="13" t="s">
        <v>10</v>
      </c>
      <c r="B9" s="16">
        <v>0</v>
      </c>
      <c r="C9" s="14">
        <v>2000</v>
      </c>
      <c r="D9" s="14">
        <f>B9+C9</f>
        <v>2000</v>
      </c>
      <c r="E9" s="14" t="s">
        <v>32</v>
      </c>
      <c r="F9" s="15">
        <v>300</v>
      </c>
      <c r="G9" s="15"/>
      <c r="H9" s="14">
        <v>1500</v>
      </c>
      <c r="I9" s="14"/>
      <c r="J9" s="14">
        <f t="shared" ref="J9:J15" si="0">D9-H9</f>
        <v>500</v>
      </c>
      <c r="K9" s="14"/>
    </row>
    <row r="10" spans="1:11" ht="18" customHeight="1" x14ac:dyDescent="0.25">
      <c r="A10" s="13" t="s">
        <v>11</v>
      </c>
      <c r="B10" s="16">
        <v>0</v>
      </c>
      <c r="C10" s="14"/>
      <c r="D10" s="14">
        <f t="shared" ref="D10:D21" si="1">B10+C10</f>
        <v>0</v>
      </c>
      <c r="E10" s="14" t="s">
        <v>33</v>
      </c>
      <c r="F10" s="15"/>
      <c r="G10" s="15"/>
      <c r="H10" s="14"/>
      <c r="I10" s="19"/>
      <c r="J10" s="14">
        <f t="shared" si="0"/>
        <v>0</v>
      </c>
      <c r="K10" s="14"/>
    </row>
    <row r="11" spans="1:11" ht="18" customHeight="1" x14ac:dyDescent="0.25">
      <c r="A11" s="13" t="s">
        <v>11</v>
      </c>
      <c r="B11" s="16">
        <v>0</v>
      </c>
      <c r="C11" s="14"/>
      <c r="D11" s="14">
        <f t="shared" si="1"/>
        <v>0</v>
      </c>
      <c r="E11" s="14" t="s">
        <v>1</v>
      </c>
      <c r="F11" s="15"/>
      <c r="G11" s="15"/>
      <c r="H11" s="14"/>
      <c r="I11" s="20"/>
      <c r="J11" s="14">
        <f t="shared" si="0"/>
        <v>0</v>
      </c>
      <c r="K11" s="14"/>
    </row>
    <row r="12" spans="1:11" ht="18" customHeight="1" x14ac:dyDescent="0.25">
      <c r="A12" s="13" t="s">
        <v>13</v>
      </c>
      <c r="B12" s="16">
        <v>1910</v>
      </c>
      <c r="C12" s="14"/>
      <c r="D12" s="14">
        <f t="shared" si="1"/>
        <v>1910</v>
      </c>
      <c r="E12" s="14" t="s">
        <v>36</v>
      </c>
      <c r="F12" s="15">
        <v>660</v>
      </c>
      <c r="G12" s="15"/>
      <c r="H12" s="14">
        <v>660</v>
      </c>
      <c r="I12" s="14"/>
      <c r="J12" s="14">
        <f t="shared" si="0"/>
        <v>1250</v>
      </c>
      <c r="K12" s="14"/>
    </row>
    <row r="13" spans="1:11" ht="18" customHeight="1" x14ac:dyDescent="0.25">
      <c r="A13" s="13" t="s">
        <v>14</v>
      </c>
      <c r="B13" s="16">
        <v>0</v>
      </c>
      <c r="C13" s="14">
        <v>1000</v>
      </c>
      <c r="D13" s="14">
        <f t="shared" si="1"/>
        <v>1000</v>
      </c>
      <c r="E13" s="14" t="s">
        <v>12</v>
      </c>
      <c r="F13" s="15">
        <v>1030</v>
      </c>
      <c r="G13" s="15"/>
      <c r="H13" s="14">
        <v>515</v>
      </c>
      <c r="I13" s="14"/>
      <c r="J13" s="14">
        <f t="shared" si="0"/>
        <v>485</v>
      </c>
      <c r="K13" s="14"/>
    </row>
    <row r="14" spans="1:11" ht="18" customHeight="1" x14ac:dyDescent="0.25">
      <c r="A14" s="13" t="s">
        <v>17</v>
      </c>
      <c r="B14" s="16">
        <v>250</v>
      </c>
      <c r="C14" s="14"/>
      <c r="D14" s="14">
        <f t="shared" si="1"/>
        <v>250</v>
      </c>
      <c r="E14" s="14" t="s">
        <v>12</v>
      </c>
      <c r="F14" s="15"/>
      <c r="G14" s="15"/>
      <c r="H14" s="14"/>
      <c r="I14" s="14"/>
      <c r="J14" s="14">
        <f t="shared" si="0"/>
        <v>250</v>
      </c>
      <c r="K14" s="14"/>
    </row>
    <row r="15" spans="1:11" ht="18" customHeight="1" x14ac:dyDescent="0.25">
      <c r="A15" s="13" t="s">
        <v>19</v>
      </c>
      <c r="B15" s="17">
        <v>196.9</v>
      </c>
      <c r="C15" s="19"/>
      <c r="D15" s="19">
        <f>B15+C16</f>
        <v>196.9</v>
      </c>
      <c r="E15" s="14" t="s">
        <v>34</v>
      </c>
      <c r="F15" s="15">
        <v>600</v>
      </c>
      <c r="G15" s="15">
        <v>60</v>
      </c>
      <c r="H15" s="19">
        <v>96</v>
      </c>
      <c r="I15" s="19"/>
      <c r="J15" s="19">
        <f t="shared" si="0"/>
        <v>100.9</v>
      </c>
      <c r="K15" s="14"/>
    </row>
    <row r="16" spans="1:11" ht="18" customHeight="1" x14ac:dyDescent="0.25">
      <c r="A16" s="13" t="s">
        <v>19</v>
      </c>
      <c r="B16" s="18"/>
      <c r="C16" s="20"/>
      <c r="D16" s="20"/>
      <c r="E16" s="14" t="s">
        <v>35</v>
      </c>
      <c r="F16" s="15">
        <v>72</v>
      </c>
      <c r="G16" s="15">
        <v>36</v>
      </c>
      <c r="H16" s="20"/>
      <c r="I16" s="20"/>
      <c r="J16" s="20"/>
      <c r="K16" s="14"/>
    </row>
    <row r="17" spans="1:11" ht="18" customHeight="1" x14ac:dyDescent="0.25">
      <c r="A17" s="13" t="s">
        <v>18</v>
      </c>
      <c r="B17" s="17">
        <v>238.8</v>
      </c>
      <c r="C17" s="19"/>
      <c r="D17" s="19">
        <f t="shared" si="1"/>
        <v>238.8</v>
      </c>
      <c r="E17" s="14" t="s">
        <v>37</v>
      </c>
      <c r="F17" s="15">
        <v>911</v>
      </c>
      <c r="G17" s="15">
        <v>45.55</v>
      </c>
      <c r="H17" s="19">
        <v>155.55000000000001</v>
      </c>
      <c r="I17" s="19"/>
      <c r="J17" s="19">
        <f>D17-H17</f>
        <v>83.25</v>
      </c>
      <c r="K17" s="14"/>
    </row>
    <row r="18" spans="1:11" ht="18" customHeight="1" x14ac:dyDescent="0.25">
      <c r="A18" s="13" t="s">
        <v>18</v>
      </c>
      <c r="B18" s="18"/>
      <c r="C18" s="20"/>
      <c r="D18" s="20"/>
      <c r="E18" s="14" t="s">
        <v>38</v>
      </c>
      <c r="F18" s="15">
        <v>550</v>
      </c>
      <c r="G18" s="15">
        <v>110</v>
      </c>
      <c r="H18" s="20"/>
      <c r="I18" s="20"/>
      <c r="J18" s="20"/>
      <c r="K18" s="14"/>
    </row>
    <row r="19" spans="1:11" ht="18" customHeight="1" x14ac:dyDescent="0.25">
      <c r="A19" s="13" t="s">
        <v>15</v>
      </c>
      <c r="B19" s="17">
        <v>0</v>
      </c>
      <c r="C19" s="19"/>
      <c r="D19" s="19">
        <f t="shared" si="1"/>
        <v>0</v>
      </c>
      <c r="E19" s="14" t="s">
        <v>34</v>
      </c>
      <c r="F19" s="15"/>
      <c r="G19" s="15"/>
      <c r="H19" s="19"/>
      <c r="I19" s="19"/>
      <c r="J19" s="19">
        <f>D19-H19</f>
        <v>0</v>
      </c>
      <c r="K19" s="14"/>
    </row>
    <row r="20" spans="1:11" ht="18" customHeight="1" x14ac:dyDescent="0.25">
      <c r="A20" s="13" t="s">
        <v>15</v>
      </c>
      <c r="B20" s="18"/>
      <c r="C20" s="20"/>
      <c r="D20" s="20"/>
      <c r="E20" s="14" t="s">
        <v>35</v>
      </c>
      <c r="F20" s="15"/>
      <c r="G20" s="15"/>
      <c r="H20" s="20"/>
      <c r="I20" s="20"/>
      <c r="J20" s="20"/>
      <c r="K20" s="14"/>
    </row>
    <row r="21" spans="1:11" ht="18" customHeight="1" x14ac:dyDescent="0.25">
      <c r="A21" s="13" t="s">
        <v>16</v>
      </c>
      <c r="B21" s="16">
        <v>0</v>
      </c>
      <c r="C21" s="14"/>
      <c r="D21" s="14">
        <f t="shared" si="1"/>
        <v>0</v>
      </c>
      <c r="E21" s="14" t="s">
        <v>41</v>
      </c>
      <c r="F21" s="15"/>
      <c r="G21" s="15"/>
      <c r="H21" s="14"/>
      <c r="I21" s="14"/>
      <c r="J21" s="14">
        <f>D21-H21</f>
        <v>0</v>
      </c>
      <c r="K21" s="14"/>
    </row>
    <row r="22" spans="1:11" ht="18" customHeight="1" x14ac:dyDescent="0.25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</row>
    <row r="23" spans="1:11" ht="22.5" customHeight="1" x14ac:dyDescent="0.25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21</v>
      </c>
    </row>
  </sheetData>
  <sortState xmlns:xlrd2="http://schemas.microsoft.com/office/spreadsheetml/2017/richdata2" ref="A7:K18">
    <sortCondition ref="A18"/>
  </sortState>
  <mergeCells count="30">
    <mergeCell ref="B7:B8"/>
    <mergeCell ref="C7:C8"/>
    <mergeCell ref="D7:D8"/>
    <mergeCell ref="J7:J8"/>
    <mergeCell ref="H7:H8"/>
    <mergeCell ref="A1:K1"/>
    <mergeCell ref="A2:K2"/>
    <mergeCell ref="A3:K3"/>
    <mergeCell ref="A5:A6"/>
    <mergeCell ref="K5:K6"/>
    <mergeCell ref="B17:B18"/>
    <mergeCell ref="C17:C18"/>
    <mergeCell ref="D17:D18"/>
    <mergeCell ref="H17:H18"/>
    <mergeCell ref="J17:J18"/>
    <mergeCell ref="B15:B16"/>
    <mergeCell ref="C15:C16"/>
    <mergeCell ref="D15:D16"/>
    <mergeCell ref="H15:H16"/>
    <mergeCell ref="J15:J16"/>
    <mergeCell ref="I7:I8"/>
    <mergeCell ref="I10:I11"/>
    <mergeCell ref="I17:I18"/>
    <mergeCell ref="I15:I16"/>
    <mergeCell ref="I19:I20"/>
    <mergeCell ref="B19:B20"/>
    <mergeCell ref="C19:C20"/>
    <mergeCell ref="D19:D20"/>
    <mergeCell ref="H19:H20"/>
    <mergeCell ref="J19:J20"/>
  </mergeCells>
  <pageMargins left="0.5" right="0.31" top="0.5" bottom="0.5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2026-06-29T11:33:38Z</dcterms:modified>
</cp:coreProperties>
</file>