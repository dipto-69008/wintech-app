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88BA48D6-C12E-41CC-B44C-9F7124138071}" xr6:coauthVersionLast="47" xr6:coauthVersionMax="47" xr10:uidLastSave="{00000000-0000-0000-0000-000000000000}"/>
  <bookViews>
    <workbookView xWindow="-120" yWindow="-120" windowWidth="20730" windowHeight="11040" tabRatio="464" firstSheet="1" activeTab="6" xr2:uid="{00000000-000D-0000-FFFF-FFFF00000000}"/>
  </bookViews>
  <sheets>
    <sheet name="Company Stock " sheetId="1" r:id="rId1"/>
    <sheet name="Cumilla " sheetId="2" r:id="rId2"/>
    <sheet name="Mymensing " sheetId="3" r:id="rId3"/>
    <sheet name="Jessore " sheetId="5" r:id="rId4"/>
    <sheet name="Bogura" sheetId="4" r:id="rId5"/>
    <sheet name="Feni " sheetId="8" r:id="rId6"/>
    <sheet name="Cumilla 2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9" l="1"/>
  <c r="D21" i="9"/>
  <c r="J21" i="9" s="1"/>
  <c r="D17" i="9"/>
  <c r="D19" i="9"/>
  <c r="J19" i="9" s="1"/>
  <c r="D15" i="9"/>
  <c r="D10" i="9"/>
  <c r="D11" i="9"/>
  <c r="D12" i="9"/>
  <c r="D13" i="9"/>
  <c r="D14" i="9"/>
  <c r="D9" i="9"/>
  <c r="D7" i="9"/>
  <c r="J7" i="9" s="1"/>
  <c r="J17" i="9"/>
  <c r="J15" i="9"/>
  <c r="J14" i="9"/>
  <c r="J12" i="9"/>
  <c r="J11" i="9"/>
  <c r="J10" i="9"/>
  <c r="J9" i="9"/>
  <c r="J19" i="2"/>
  <c r="J20" i="2"/>
  <c r="J21" i="2"/>
  <c r="J23" i="2"/>
  <c r="J24" i="2"/>
  <c r="J25" i="2"/>
  <c r="J28" i="2"/>
  <c r="J30" i="2"/>
  <c r="J31" i="2"/>
  <c r="F8" i="2"/>
  <c r="J8" i="2" s="1"/>
  <c r="F9" i="2"/>
  <c r="J9" i="2" s="1"/>
  <c r="F10" i="2"/>
  <c r="J10" i="2" s="1"/>
  <c r="F11" i="2"/>
  <c r="J11" i="2" s="1"/>
  <c r="F12" i="2"/>
  <c r="J12" i="2" s="1"/>
  <c r="F13" i="2"/>
  <c r="J13" i="2" s="1"/>
  <c r="F14" i="2"/>
  <c r="J14" i="2" s="1"/>
  <c r="F15" i="2"/>
  <c r="J15" i="2" s="1"/>
  <c r="F16" i="2"/>
  <c r="J16" i="2" s="1"/>
  <c r="F17" i="2"/>
  <c r="J17" i="2" s="1"/>
  <c r="F18" i="2"/>
  <c r="J18" i="2" s="1"/>
  <c r="F19" i="2"/>
  <c r="F20" i="2"/>
  <c r="F21" i="2"/>
  <c r="F22" i="2"/>
  <c r="J22" i="2" s="1"/>
  <c r="F23" i="2"/>
  <c r="F24" i="2"/>
  <c r="F25" i="2"/>
  <c r="F26" i="2"/>
  <c r="J26" i="2" s="1"/>
  <c r="F27" i="2"/>
  <c r="J27" i="2" s="1"/>
  <c r="F28" i="2"/>
  <c r="F29" i="2"/>
  <c r="J29" i="2" s="1"/>
  <c r="F30" i="2"/>
  <c r="F31" i="2"/>
  <c r="F32" i="2"/>
  <c r="J32" i="2" s="1"/>
  <c r="F33" i="2"/>
  <c r="J33" i="2" s="1"/>
  <c r="F34" i="2"/>
  <c r="J34" i="2" s="1"/>
  <c r="F35" i="2"/>
  <c r="J35" i="2" s="1"/>
  <c r="F36" i="2"/>
  <c r="J36" i="2" s="1"/>
  <c r="F37" i="2"/>
  <c r="J37" i="2" s="1"/>
  <c r="F38" i="2"/>
  <c r="J38" i="2" s="1"/>
  <c r="F7" i="2"/>
  <c r="J7" i="2" s="1"/>
  <c r="J8" i="3"/>
  <c r="J9" i="3"/>
  <c r="J11" i="3"/>
  <c r="J12" i="3"/>
  <c r="J13" i="3"/>
  <c r="J14" i="3"/>
  <c r="J15" i="3"/>
  <c r="J19" i="3"/>
  <c r="J20" i="3"/>
  <c r="J23" i="3"/>
  <c r="J27" i="3"/>
  <c r="J28" i="3"/>
  <c r="J30" i="3"/>
  <c r="J31" i="3"/>
  <c r="J32" i="3"/>
  <c r="J35" i="3"/>
  <c r="J36" i="3"/>
  <c r="J37" i="3"/>
  <c r="F8" i="3"/>
  <c r="F9" i="3"/>
  <c r="F10" i="3"/>
  <c r="J10" i="3" s="1"/>
  <c r="F11" i="3"/>
  <c r="F12" i="3"/>
  <c r="F13" i="3"/>
  <c r="F14" i="3"/>
  <c r="F15" i="3"/>
  <c r="F16" i="3"/>
  <c r="J16" i="3" s="1"/>
  <c r="F17" i="3"/>
  <c r="J17" i="3" s="1"/>
  <c r="F18" i="3"/>
  <c r="J18" i="3" s="1"/>
  <c r="F21" i="3"/>
  <c r="J21" i="3" s="1"/>
  <c r="F22" i="3"/>
  <c r="J22" i="3" s="1"/>
  <c r="F23" i="3"/>
  <c r="F24" i="3"/>
  <c r="J24" i="3" s="1"/>
  <c r="F25" i="3"/>
  <c r="J25" i="3" s="1"/>
  <c r="F26" i="3"/>
  <c r="J26" i="3" s="1"/>
  <c r="F27" i="3"/>
  <c r="F28" i="3"/>
  <c r="F29" i="3"/>
  <c r="J29" i="3" s="1"/>
  <c r="F32" i="3"/>
  <c r="F33" i="3"/>
  <c r="J33" i="3" s="1"/>
  <c r="F34" i="3"/>
  <c r="J34" i="3" s="1"/>
  <c r="F35" i="3"/>
  <c r="F36" i="3"/>
  <c r="F37" i="3"/>
  <c r="F38" i="3"/>
  <c r="J38" i="3" s="1"/>
  <c r="J7" i="3"/>
  <c r="F7" i="3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5" i="5"/>
  <c r="J26" i="5"/>
  <c r="J27" i="5"/>
  <c r="J28" i="5"/>
  <c r="J29" i="5"/>
  <c r="J30" i="5"/>
  <c r="J31" i="5"/>
  <c r="J32" i="5"/>
  <c r="J33" i="5"/>
  <c r="J35" i="5"/>
  <c r="J36" i="5"/>
  <c r="J37" i="5"/>
  <c r="J39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J24" i="5" s="1"/>
  <c r="F25" i="5"/>
  <c r="F26" i="5"/>
  <c r="F27" i="5"/>
  <c r="F28" i="5"/>
  <c r="F29" i="5"/>
  <c r="F30" i="5"/>
  <c r="F31" i="5"/>
  <c r="F32" i="5"/>
  <c r="F33" i="5"/>
  <c r="F34" i="5"/>
  <c r="J34" i="5" s="1"/>
  <c r="F35" i="5"/>
  <c r="F36" i="5"/>
  <c r="F37" i="5"/>
  <c r="F38" i="5"/>
  <c r="J38" i="5" s="1"/>
  <c r="F39" i="5"/>
  <c r="J7" i="5"/>
  <c r="F7" i="5"/>
  <c r="F8" i="4"/>
  <c r="F9" i="4"/>
  <c r="F10" i="4"/>
  <c r="F11" i="4"/>
  <c r="F12" i="4"/>
  <c r="F13" i="4"/>
  <c r="J13" i="4" s="1"/>
  <c r="F14" i="4"/>
  <c r="J14" i="4" s="1"/>
  <c r="F15" i="4"/>
  <c r="J15" i="4" s="1"/>
  <c r="F16" i="4"/>
  <c r="J16" i="4" s="1"/>
  <c r="F17" i="4"/>
  <c r="F18" i="4"/>
  <c r="F19" i="4"/>
  <c r="F22" i="4"/>
  <c r="J22" i="4" s="1"/>
  <c r="F23" i="4"/>
  <c r="J23" i="4" s="1"/>
  <c r="F24" i="4"/>
  <c r="F25" i="4"/>
  <c r="F26" i="4"/>
  <c r="F27" i="4"/>
  <c r="F28" i="4"/>
  <c r="F29" i="4"/>
  <c r="J29" i="4" s="1"/>
  <c r="F30" i="4"/>
  <c r="J30" i="4" s="1"/>
  <c r="F31" i="4"/>
  <c r="J31" i="4" s="1"/>
  <c r="F32" i="4"/>
  <c r="J32" i="4" s="1"/>
  <c r="F33" i="4"/>
  <c r="F34" i="4"/>
  <c r="F35" i="4"/>
  <c r="F36" i="4"/>
  <c r="F37" i="4"/>
  <c r="J37" i="4" s="1"/>
  <c r="F38" i="4"/>
  <c r="J38" i="4" s="1"/>
  <c r="F7" i="4"/>
  <c r="J8" i="4"/>
  <c r="J11" i="4"/>
  <c r="J12" i="4"/>
  <c r="J17" i="4"/>
  <c r="J18" i="4"/>
  <c r="J19" i="4"/>
  <c r="J20" i="4"/>
  <c r="J21" i="4"/>
  <c r="J24" i="4"/>
  <c r="J25" i="4"/>
  <c r="J26" i="4"/>
  <c r="J27" i="4"/>
  <c r="J28" i="4"/>
  <c r="J33" i="4"/>
  <c r="J34" i="4"/>
  <c r="J35" i="4"/>
  <c r="J36" i="4"/>
  <c r="J9" i="4"/>
  <c r="J10" i="4"/>
  <c r="J7" i="4"/>
  <c r="F23" i="1" l="1"/>
  <c r="F40" i="1"/>
  <c r="F8" i="8"/>
  <c r="J8" i="8" s="1"/>
  <c r="F9" i="8"/>
  <c r="F10" i="8"/>
  <c r="F11" i="8"/>
  <c r="F12" i="8"/>
  <c r="J12" i="8" s="1"/>
  <c r="F13" i="8"/>
  <c r="F14" i="8"/>
  <c r="J14" i="8" s="1"/>
  <c r="F15" i="8"/>
  <c r="J15" i="8" s="1"/>
  <c r="F16" i="8"/>
  <c r="F17" i="8"/>
  <c r="J17" i="8" s="1"/>
  <c r="F18" i="8"/>
  <c r="F19" i="8"/>
  <c r="F20" i="8"/>
  <c r="F21" i="8"/>
  <c r="F22" i="8"/>
  <c r="J22" i="8" s="1"/>
  <c r="F23" i="8"/>
  <c r="J23" i="8" s="1"/>
  <c r="F24" i="8"/>
  <c r="F25" i="8"/>
  <c r="J25" i="8" s="1"/>
  <c r="F26" i="8"/>
  <c r="F27" i="8"/>
  <c r="J27" i="8" s="1"/>
  <c r="F28" i="8"/>
  <c r="F29" i="8"/>
  <c r="F30" i="8"/>
  <c r="J30" i="8" s="1"/>
  <c r="F31" i="8"/>
  <c r="J31" i="8" s="1"/>
  <c r="F32" i="8"/>
  <c r="F33" i="8"/>
  <c r="F34" i="8"/>
  <c r="J34" i="8" s="1"/>
  <c r="F35" i="8"/>
  <c r="F36" i="8"/>
  <c r="F37" i="8"/>
  <c r="J37" i="8" s="1"/>
  <c r="F38" i="8"/>
  <c r="J38" i="8" s="1"/>
  <c r="J9" i="8"/>
  <c r="J10" i="8"/>
  <c r="J11" i="8"/>
  <c r="J13" i="8"/>
  <c r="J16" i="8"/>
  <c r="J18" i="8"/>
  <c r="J19" i="8"/>
  <c r="J20" i="8"/>
  <c r="J21" i="8"/>
  <c r="J24" i="8"/>
  <c r="J26" i="8"/>
  <c r="J28" i="8"/>
  <c r="J29" i="8"/>
  <c r="J32" i="8"/>
  <c r="J33" i="8"/>
  <c r="J35" i="8"/>
  <c r="J36" i="8"/>
  <c r="J7" i="8"/>
  <c r="F7" i="8"/>
  <c r="F32" i="1" l="1"/>
  <c r="G32" i="1"/>
  <c r="A22" i="3"/>
  <c r="C40" i="1"/>
  <c r="G40" i="1"/>
  <c r="E40" i="1"/>
  <c r="D40" i="1"/>
  <c r="H40" i="1" l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1" i="8"/>
  <c r="B31" i="8"/>
  <c r="A31" i="5"/>
  <c r="B31" i="5"/>
  <c r="A31" i="4"/>
  <c r="B31" i="4"/>
  <c r="A31" i="2"/>
  <c r="B31" i="2"/>
  <c r="B30" i="2"/>
  <c r="E32" i="1"/>
  <c r="D32" i="1"/>
  <c r="C32" i="1"/>
  <c r="B10" i="4" l="1"/>
  <c r="F9" i="1" l="1"/>
  <c r="F10" i="1"/>
  <c r="F13" i="1"/>
  <c r="F14" i="1"/>
  <c r="F15" i="1"/>
  <c r="F16" i="1"/>
  <c r="F17" i="1"/>
  <c r="F18" i="1"/>
  <c r="F19" i="1"/>
  <c r="F21" i="1"/>
  <c r="F22" i="1"/>
  <c r="F24" i="1"/>
  <c r="F25" i="1"/>
  <c r="F26" i="1"/>
  <c r="F27" i="1"/>
  <c r="F28" i="1"/>
  <c r="F29" i="1"/>
  <c r="F30" i="1"/>
  <c r="F31" i="1"/>
  <c r="F33" i="1"/>
  <c r="F34" i="1"/>
  <c r="F35" i="1"/>
  <c r="F36" i="1"/>
  <c r="F37" i="1"/>
  <c r="F38" i="1"/>
  <c r="F39" i="1"/>
  <c r="F11" i="1"/>
  <c r="F12" i="1"/>
  <c r="F20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38" i="1"/>
  <c r="E39" i="1"/>
  <c r="D9" i="1"/>
  <c r="D11" i="1"/>
  <c r="D13" i="1"/>
  <c r="D15" i="1"/>
  <c r="D16" i="1"/>
  <c r="D18" i="1"/>
  <c r="D19" i="1"/>
  <c r="D20" i="1"/>
  <c r="D21" i="1"/>
  <c r="D22" i="1"/>
  <c r="D23" i="1"/>
  <c r="D24" i="1"/>
  <c r="D25" i="1"/>
  <c r="D27" i="1"/>
  <c r="D28" i="1"/>
  <c r="D29" i="1"/>
  <c r="D30" i="1"/>
  <c r="D31" i="1"/>
  <c r="D33" i="1"/>
  <c r="D34" i="1"/>
  <c r="D35" i="1"/>
  <c r="D36" i="1"/>
  <c r="D37" i="1"/>
  <c r="D38" i="1"/>
  <c r="G11" i="1"/>
  <c r="G12" i="1"/>
  <c r="G13" i="1"/>
  <c r="G14" i="1"/>
  <c r="G15" i="1"/>
  <c r="G16" i="1"/>
  <c r="G19" i="1"/>
  <c r="G21" i="1"/>
  <c r="G22" i="1"/>
  <c r="G23" i="1"/>
  <c r="G24" i="1"/>
  <c r="G25" i="1"/>
  <c r="G27" i="1"/>
  <c r="G28" i="1"/>
  <c r="G29" i="1"/>
  <c r="G30" i="1"/>
  <c r="G31" i="1"/>
  <c r="G33" i="1"/>
  <c r="G34" i="1"/>
  <c r="G35" i="1"/>
  <c r="G36" i="1"/>
  <c r="G37" i="1"/>
  <c r="G38" i="1"/>
  <c r="G39" i="1"/>
  <c r="G9" i="1"/>
  <c r="G10" i="1"/>
  <c r="G17" i="1"/>
  <c r="G18" i="1"/>
  <c r="G20" i="1"/>
  <c r="G26" i="1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2" i="8"/>
  <c r="B33" i="8"/>
  <c r="B34" i="8"/>
  <c r="B35" i="8"/>
  <c r="B36" i="8"/>
  <c r="B37" i="8"/>
  <c r="B38" i="8"/>
  <c r="B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2" i="8"/>
  <c r="A33" i="8"/>
  <c r="A34" i="8"/>
  <c r="A35" i="8"/>
  <c r="A36" i="8"/>
  <c r="A37" i="8"/>
  <c r="A38" i="8"/>
  <c r="A7" i="8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2" i="5"/>
  <c r="A33" i="5"/>
  <c r="A34" i="5"/>
  <c r="A35" i="5"/>
  <c r="A36" i="5"/>
  <c r="A37" i="5"/>
  <c r="A38" i="5"/>
  <c r="A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2" i="5"/>
  <c r="B33" i="5"/>
  <c r="B34" i="5"/>
  <c r="B35" i="5"/>
  <c r="B36" i="5"/>
  <c r="B37" i="5"/>
  <c r="B38" i="5"/>
  <c r="B7" i="5"/>
  <c r="A8" i="4"/>
  <c r="B8" i="4"/>
  <c r="A9" i="4"/>
  <c r="B9" i="4"/>
  <c r="A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B7" i="4"/>
  <c r="A7" i="4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2" i="2"/>
  <c r="B33" i="2"/>
  <c r="B34" i="2"/>
  <c r="B35" i="2"/>
  <c r="B36" i="2"/>
  <c r="B37" i="2"/>
  <c r="B38" i="2"/>
  <c r="B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2" i="2"/>
  <c r="A33" i="2"/>
  <c r="A34" i="2"/>
  <c r="A35" i="2"/>
  <c r="A36" i="2"/>
  <c r="A37" i="2"/>
  <c r="A38" i="2"/>
  <c r="A7" i="2"/>
  <c r="B7" i="3"/>
  <c r="D10" i="1"/>
  <c r="D12" i="1"/>
  <c r="D14" i="1"/>
  <c r="D26" i="1"/>
  <c r="D39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3" i="1"/>
  <c r="C34" i="1"/>
  <c r="C35" i="1"/>
  <c r="C36" i="1"/>
  <c r="C37" i="1"/>
  <c r="C38" i="1"/>
  <c r="C39" i="1"/>
  <c r="D17" i="1" l="1"/>
  <c r="C8" i="1"/>
  <c r="C41" i="1" s="1"/>
  <c r="H32" i="1"/>
  <c r="G8" i="1"/>
  <c r="F8" i="1"/>
  <c r="E8" i="1"/>
  <c r="D8" i="1"/>
  <c r="H8" i="1" l="1"/>
  <c r="D41" i="1"/>
  <c r="H36" i="1"/>
  <c r="H37" i="1"/>
  <c r="H39" i="1"/>
  <c r="H38" i="1"/>
  <c r="E41" i="1"/>
  <c r="H22" i="1"/>
  <c r="F41" i="1"/>
  <c r="G41" i="1"/>
  <c r="H11" i="1"/>
  <c r="H19" i="1"/>
  <c r="H34" i="1"/>
  <c r="H25" i="1"/>
  <c r="H17" i="1"/>
  <c r="H27" i="1"/>
  <c r="H30" i="1"/>
  <c r="H14" i="1"/>
  <c r="H9" i="1"/>
  <c r="H35" i="1"/>
  <c r="H33" i="1"/>
  <c r="H31" i="1"/>
  <c r="H29" i="1"/>
  <c r="H28" i="1"/>
  <c r="H26" i="1"/>
  <c r="H24" i="1"/>
  <c r="H23" i="1"/>
  <c r="H21" i="1"/>
  <c r="H20" i="1"/>
  <c r="H18" i="1"/>
  <c r="H16" i="1"/>
  <c r="H15" i="1"/>
  <c r="H13" i="1"/>
  <c r="H12" i="1"/>
  <c r="H10" i="1"/>
  <c r="H41" i="1" l="1"/>
  <c r="A7" i="3"/>
</calcChain>
</file>

<file path=xl/sharedStrings.xml><?xml version="1.0" encoding="utf-8"?>
<sst xmlns="http://schemas.openxmlformats.org/spreadsheetml/2006/main" count="284" uniqueCount="103">
  <si>
    <t xml:space="preserve">Name of </t>
  </si>
  <si>
    <t xml:space="preserve">Pack </t>
  </si>
  <si>
    <t>Mymensingh</t>
  </si>
  <si>
    <t>Bogra</t>
  </si>
  <si>
    <t>Jessore</t>
  </si>
  <si>
    <t>Feni</t>
  </si>
  <si>
    <t>Total</t>
  </si>
  <si>
    <t>Size</t>
  </si>
  <si>
    <t>Stock</t>
  </si>
  <si>
    <t>Quantity</t>
  </si>
  <si>
    <t>500gm</t>
  </si>
  <si>
    <t>5kg</t>
  </si>
  <si>
    <t>WINTECH AGRO BANGLADESH</t>
  </si>
  <si>
    <t xml:space="preserve">Total:- </t>
  </si>
  <si>
    <t xml:space="preserve">WINTECH AGRO BANGLADESH </t>
  </si>
  <si>
    <t>House # 20, Road # 18, Sector # 14, Uttara, Dhaka-1230, Bangladesh.</t>
  </si>
  <si>
    <t xml:space="preserve">Monthly Zonal Product Storage &amp; Dispose </t>
  </si>
  <si>
    <t xml:space="preserve">Name Of Product </t>
  </si>
  <si>
    <t xml:space="preserve">Previous </t>
  </si>
  <si>
    <t>Received</t>
  </si>
  <si>
    <t xml:space="preserve">Return </t>
  </si>
  <si>
    <t xml:space="preserve">Total </t>
  </si>
  <si>
    <t xml:space="preserve">Transfer </t>
  </si>
  <si>
    <t xml:space="preserve">Sales </t>
  </si>
  <si>
    <t xml:space="preserve">Bonus </t>
  </si>
  <si>
    <t xml:space="preserve">Present </t>
  </si>
  <si>
    <t xml:space="preserve">Remarks </t>
  </si>
  <si>
    <t xml:space="preserve">Stock </t>
  </si>
  <si>
    <t xml:space="preserve">Quentity </t>
  </si>
  <si>
    <t xml:space="preserve">Quantity </t>
  </si>
  <si>
    <t xml:space="preserve">Balance </t>
  </si>
  <si>
    <t xml:space="preserve">Aqua Amla </t>
  </si>
  <si>
    <t xml:space="preserve">100gm </t>
  </si>
  <si>
    <t xml:space="preserve">Aqua Milk Premium </t>
  </si>
  <si>
    <t xml:space="preserve">Aqua Safe Plus </t>
  </si>
  <si>
    <t xml:space="preserve">Bencidal Plus </t>
  </si>
  <si>
    <t xml:space="preserve">100ml </t>
  </si>
  <si>
    <t xml:space="preserve">500ml </t>
  </si>
  <si>
    <t xml:space="preserve">Bottom Light </t>
  </si>
  <si>
    <t xml:space="preserve">500gm </t>
  </si>
  <si>
    <t xml:space="preserve">Brood Plus </t>
  </si>
  <si>
    <t xml:space="preserve">Eco Fresh </t>
  </si>
  <si>
    <t xml:space="preserve">1kg </t>
  </si>
  <si>
    <t xml:space="preserve">Eco Fresh Plus </t>
  </si>
  <si>
    <t xml:space="preserve">Energy Flow </t>
  </si>
  <si>
    <t xml:space="preserve">Enrosef </t>
  </si>
  <si>
    <t xml:space="preserve">Erostep </t>
  </si>
  <si>
    <t>Green Vita</t>
  </si>
  <si>
    <t xml:space="preserve">Liver Win </t>
  </si>
  <si>
    <t xml:space="preserve">Pro Yucca for Fish </t>
  </si>
  <si>
    <t xml:space="preserve">Vitafort Aqua </t>
  </si>
  <si>
    <t xml:space="preserve">Vitazyme Aqua </t>
  </si>
  <si>
    <t xml:space="preserve">Win C </t>
  </si>
  <si>
    <t xml:space="preserve">Win Health </t>
  </si>
  <si>
    <t xml:space="preserve">Win Max Plus </t>
  </si>
  <si>
    <t xml:space="preserve">50ml </t>
  </si>
  <si>
    <t xml:space="preserve">200ml </t>
  </si>
  <si>
    <t xml:space="preserve">Win Pro Aqua </t>
  </si>
  <si>
    <t xml:space="preserve">200gm </t>
  </si>
  <si>
    <t xml:space="preserve">Winxide Aqua </t>
  </si>
  <si>
    <t xml:space="preserve">Assigned Officer </t>
  </si>
  <si>
    <t xml:space="preserve">Zone Incharge  </t>
  </si>
  <si>
    <t xml:space="preserve">Zone : Cumilla  </t>
  </si>
  <si>
    <t xml:space="preserve">Zone : Feni  </t>
  </si>
  <si>
    <t xml:space="preserve">Zone : Jessore   </t>
  </si>
  <si>
    <t xml:space="preserve">Zone : Mymensingh   </t>
  </si>
  <si>
    <t xml:space="preserve">Cumilla </t>
  </si>
  <si>
    <t>The Products</t>
  </si>
  <si>
    <t>Oxy-win (Granular)</t>
  </si>
  <si>
    <t>Oxy-win (Tablet)</t>
  </si>
  <si>
    <t xml:space="preserve">Accounts Dept. </t>
  </si>
  <si>
    <t xml:space="preserve">Checked By </t>
  </si>
  <si>
    <t xml:space="preserve"> Pack </t>
  </si>
  <si>
    <t>Managing Partner</t>
  </si>
  <si>
    <t>House #20, Road #18, Sector #14, Uttara, Dhaka-1230,Bangladesh.</t>
  </si>
  <si>
    <t xml:space="preserve">Vita Fort Aqua </t>
  </si>
  <si>
    <t xml:space="preserve">Zone : Bogura  </t>
  </si>
  <si>
    <t>500g</t>
  </si>
  <si>
    <t>Month of April 2026</t>
  </si>
  <si>
    <t>Month of April 2025</t>
  </si>
  <si>
    <t>Company Stock Report April 2026</t>
  </si>
  <si>
    <t xml:space="preserve">Goalbari, Kaundia, Mirpur Borobazar, Savar, Dhaka-1218, Bangladesh </t>
  </si>
  <si>
    <t xml:space="preserve">Zone : Cumilla - 02  </t>
  </si>
  <si>
    <t xml:space="preserve">Previous Total </t>
  </si>
  <si>
    <t xml:space="preserve">Received </t>
  </si>
  <si>
    <t>Total Product</t>
  </si>
  <si>
    <t>Convert</t>
  </si>
  <si>
    <t>Total Convert</t>
  </si>
  <si>
    <t>Westgate</t>
  </si>
  <si>
    <t>Present Balance</t>
  </si>
  <si>
    <t>Balance Kg/Litter</t>
  </si>
  <si>
    <t xml:space="preserve">Quantity Kg/Litter  </t>
  </si>
  <si>
    <t xml:space="preserve">Size </t>
  </si>
  <si>
    <t>Pcs Transfer</t>
  </si>
  <si>
    <t xml:space="preserve"> Kg/Litter</t>
  </si>
  <si>
    <t>Kg/Litter</t>
  </si>
  <si>
    <t>5 Kg</t>
  </si>
  <si>
    <t>100gm</t>
  </si>
  <si>
    <t xml:space="preserve">1 Kg </t>
  </si>
  <si>
    <t>100ml</t>
  </si>
  <si>
    <t>500ml</t>
  </si>
  <si>
    <t>50ml</t>
  </si>
  <si>
    <t>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</si>
</sst>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.00_-;\-* #,##0.00_-;_-* &quot;-&quot;??_-;_-@_-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4"/>
      <name val="Arial"/>
      <family val="2"/>
    </font>
    <font>
      <sz val="11"/>
      <color rgb="FF00B0F0"/>
      <name val="Calibri"/>
      <family val="2"/>
      <scheme val="minor"/>
    </font>
    <font>
      <sz val="24"/>
      <name val="Arial"/>
      <family val="2"/>
    </font>
    <font>
      <sz val="12"/>
      <name val="Arial"/>
      <family val="2"/>
    </font>
    <font>
      <b/>
      <sz val="13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sz val="10"/>
      <name val="Arial"/>
      <family val="2"/>
    </font>
    <font>
      <sz val="22"/>
      <color theme="1"/>
      <name val="Arial "/>
    </font>
    <font>
      <sz val="11"/>
      <color theme="1"/>
      <name val="Arial "/>
    </font>
    <font>
      <sz val="11"/>
      <name val="Arial "/>
    </font>
    <font>
      <b/>
      <sz val="14"/>
      <color theme="1"/>
      <name val="Arial "/>
    </font>
    <font>
      <sz val="12"/>
      <color theme="1"/>
      <name val="Arial "/>
    </font>
    <font>
      <sz val="10"/>
      <color theme="1"/>
      <name val="Arial "/>
    </font>
    <font>
      <sz val="9"/>
      <color theme="1"/>
      <name val="Arial "/>
    </font>
    <font>
      <sz val="14"/>
      <name val="Arial "/>
    </font>
    <font>
      <sz val="14"/>
      <color theme="1"/>
      <name val="Arial 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8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1" applyNumberFormat="1" applyFont="1" applyBorder="1" applyAlignment="1">
      <alignment horizontal="right" vertical="center"/>
    </xf>
    <xf numFmtId="41" fontId="2" fillId="0" borderId="3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1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64" fontId="5" fillId="0" borderId="3" xfId="1" applyFont="1" applyBorder="1" applyAlignment="1">
      <alignment horizontal="right" vertical="center"/>
    </xf>
    <xf numFmtId="0" fontId="11" fillId="0" borderId="0" xfId="0" applyFont="1"/>
    <xf numFmtId="0" fontId="14" fillId="0" borderId="1" xfId="1" applyNumberFormat="1" applyFont="1" applyBorder="1" applyAlignment="1">
      <alignment vertical="center"/>
    </xf>
    <xf numFmtId="0" fontId="4" fillId="0" borderId="0" xfId="1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41" fontId="0" fillId="0" borderId="0" xfId="0" applyNumberFormat="1"/>
    <xf numFmtId="41" fontId="3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0" fontId="2" fillId="0" borderId="0" xfId="0" applyFont="1"/>
    <xf numFmtId="0" fontId="21" fillId="0" borderId="0" xfId="0" applyFont="1"/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left" vertical="center"/>
    </xf>
    <xf numFmtId="0" fontId="22" fillId="0" borderId="3" xfId="1" applyNumberFormat="1" applyFont="1" applyBorder="1" applyAlignment="1">
      <alignment horizontal="right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left"/>
    </xf>
    <xf numFmtId="41" fontId="2" fillId="0" borderId="1" xfId="1" applyNumberFormat="1" applyFont="1" applyBorder="1" applyAlignment="1">
      <alignment horizontal="right"/>
    </xf>
    <xf numFmtId="41" fontId="5" fillId="0" borderId="1" xfId="1" applyNumberFormat="1" applyFont="1" applyBorder="1" applyAlignment="1">
      <alignment horizontal="righ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1" fillId="0" borderId="0" xfId="0" applyNumberFormat="1" applyFont="1"/>
    <xf numFmtId="0" fontId="24" fillId="0" borderId="1" xfId="1" applyNumberFormat="1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29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4" fillId="0" borderId="1" xfId="0" applyFont="1" applyBorder="1"/>
    <xf numFmtId="0" fontId="13" fillId="0" borderId="2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right" vertical="center"/>
    </xf>
    <xf numFmtId="0" fontId="14" fillId="0" borderId="1" xfId="1" applyNumberFormat="1" applyFont="1" applyBorder="1" applyAlignment="1">
      <alignment horizontal="right" vertical="center"/>
    </xf>
    <xf numFmtId="0" fontId="2" fillId="0" borderId="3" xfId="1" applyNumberFormat="1" applyFont="1" applyBorder="1" applyAlignment="1">
      <alignment horizontal="center" vertical="center"/>
    </xf>
    <xf numFmtId="0" fontId="2" fillId="0" borderId="4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5" fillId="0" borderId="3" xfId="1" applyNumberFormat="1" applyFont="1" applyBorder="1" applyAlignment="1">
      <alignment horizontal="center" vertical="center"/>
    </xf>
    <xf numFmtId="0" fontId="30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5" fillId="0" borderId="3" xfId="1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1" xfId="1" applyNumberFormat="1" applyFont="1" applyFill="1" applyBorder="1" applyAlignment="1">
      <alignment horizontal="left" vertical="center"/>
    </xf>
    <xf numFmtId="0" fontId="5" fillId="0" borderId="1" xfId="1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right" vertical="center"/>
    </xf>
    <xf numFmtId="0" fontId="31" fillId="0" borderId="0" xfId="0" applyFont="1" applyAlignment="1">
      <alignment vertical="center"/>
    </xf>
    <xf numFmtId="0" fontId="4" fillId="0" borderId="0" xfId="1" applyNumberFormat="1" applyFont="1" applyBorder="1" applyAlignment="1">
      <alignment horizontal="left" vertical="center"/>
    </xf>
    <xf numFmtId="0" fontId="2" fillId="0" borderId="1" xfId="0" applyFont="1" applyBorder="1"/>
    <xf numFmtId="0" fontId="29" fillId="0" borderId="3" xfId="0" applyFont="1" applyBorder="1" applyAlignment="1">
      <alignment horizontal="left" vertical="center"/>
    </xf>
    <xf numFmtId="0" fontId="29" fillId="0" borderId="3" xfId="1" applyNumberFormat="1" applyFont="1" applyBorder="1" applyAlignment="1">
      <alignment horizontal="right" vertical="center"/>
    </xf>
    <xf numFmtId="41" fontId="29" fillId="0" borderId="1" xfId="1" applyNumberFormat="1" applyFont="1" applyBorder="1" applyAlignment="1">
      <alignment horizontal="right"/>
    </xf>
    <xf numFmtId="41" fontId="29" fillId="0" borderId="1" xfId="0" applyNumberFormat="1" applyFont="1" applyBorder="1" applyAlignment="1">
      <alignment horizontal="right" vertical="center"/>
    </xf>
    <xf numFmtId="41" fontId="29" fillId="0" borderId="3" xfId="0" applyNumberFormat="1" applyFont="1" applyBorder="1" applyAlignment="1">
      <alignment horizontal="right" vertical="center"/>
    </xf>
    <xf numFmtId="0" fontId="32" fillId="0" borderId="0" xfId="0" applyFont="1"/>
    <xf numFmtId="0" fontId="21" fillId="0" borderId="1" xfId="0" applyFont="1" applyBorder="1" applyAlignment="1">
      <alignment horizontal="right" vertical="center"/>
    </xf>
    <xf numFmtId="0" fontId="21" fillId="0" borderId="3" xfId="0" applyFont="1" applyBorder="1" applyAlignment="1">
      <alignment horizontal="right" vertical="center"/>
    </xf>
    <xf numFmtId="0" fontId="22" fillId="0" borderId="1" xfId="0" applyFont="1" applyBorder="1" applyAlignment="1">
      <alignment horizontal="right" vertical="center"/>
    </xf>
    <xf numFmtId="0" fontId="2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 wrapText="1"/>
    </xf>
    <xf numFmtId="0" fontId="33" fillId="0" borderId="0" xfId="0" applyFont="1"/>
    <xf numFmtId="0" fontId="35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 wrapText="1"/>
    </xf>
    <xf numFmtId="164" fontId="34" fillId="0" borderId="3" xfId="1" applyFont="1" applyBorder="1" applyAlignment="1">
      <alignment horizontal="left" vertical="center"/>
    </xf>
    <xf numFmtId="0" fontId="13" fillId="0" borderId="2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3" fillId="0" borderId="3" xfId="1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  <xf numFmtId="0" fontId="13" fillId="0" borderId="3" xfId="1" applyNumberFormat="1" applyFont="1" applyBorder="1" applyAlignment="1">
      <alignment horizontal="center" vertical="center"/>
    </xf>
    <xf numFmtId="164" fontId="5" fillId="0" borderId="0" xfId="1" applyFont="1" applyBorder="1" applyAlignment="1">
      <alignment horizontal="left" vertical="center"/>
    </xf>
    <xf numFmtId="0" fontId="5" fillId="0" borderId="0" xfId="1" applyNumberFormat="1" applyFont="1" applyBorder="1" applyAlignment="1">
      <alignment horizontal="center" vertical="center"/>
    </xf>
  </cellXfs>
  <cellStyles count="2">
    <cellStyle name="কমা" xfId="1" builtinId="3"/>
    <cellStyle name="সাধারণ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3"/>
  <sheetViews>
    <sheetView view="pageLayout" topLeftCell="A28" zoomScale="85" zoomScaleNormal="100" zoomScalePageLayoutView="85" workbookViewId="0">
      <selection activeCell="F11" sqref="F11"/>
    </sheetView>
  </sheetViews>
  <sheetFormatPr defaultRowHeight="15"/>
  <cols>
    <col min="1" max="1" width="20.140625" style="66" customWidth="1"/>
    <col min="2" max="2" width="10" style="66" customWidth="1"/>
    <col min="3" max="3" width="9" style="66" customWidth="1"/>
    <col min="4" max="4" width="11.42578125" style="66" customWidth="1"/>
    <col min="5" max="5" width="9.28515625" style="66" customWidth="1"/>
    <col min="6" max="6" width="9.7109375" style="66" customWidth="1"/>
    <col min="7" max="7" width="8.28515625" style="66" customWidth="1"/>
    <col min="8" max="8" width="9.85546875" style="66" customWidth="1"/>
    <col min="9" max="9" width="8.85546875" style="66" customWidth="1"/>
    <col min="10" max="16384" width="9.140625" style="66"/>
  </cols>
  <sheetData>
    <row r="2" spans="1:11" ht="30">
      <c r="A2" s="93" t="s">
        <v>12</v>
      </c>
      <c r="B2" s="93"/>
      <c r="C2" s="93"/>
      <c r="D2" s="93"/>
      <c r="E2" s="93"/>
      <c r="F2" s="93"/>
      <c r="G2" s="93"/>
      <c r="H2" s="93"/>
      <c r="I2" s="93"/>
      <c r="J2" s="65"/>
      <c r="K2" s="65"/>
    </row>
    <row r="3" spans="1:11">
      <c r="A3" s="94" t="s">
        <v>74</v>
      </c>
      <c r="B3" s="94"/>
      <c r="C3" s="94"/>
      <c r="D3" s="94"/>
      <c r="E3" s="94"/>
      <c r="F3" s="94"/>
      <c r="G3" s="94"/>
      <c r="H3" s="94"/>
      <c r="I3" s="94"/>
      <c r="J3" s="65"/>
      <c r="K3" s="65"/>
    </row>
    <row r="4" spans="1:11" ht="24" customHeight="1">
      <c r="A4" s="95" t="s">
        <v>80</v>
      </c>
      <c r="B4" s="95"/>
      <c r="C4" s="95"/>
      <c r="D4" s="95"/>
      <c r="E4" s="95"/>
      <c r="F4" s="95"/>
      <c r="G4" s="95"/>
      <c r="H4" s="95"/>
      <c r="I4" s="95"/>
      <c r="J4" s="65"/>
      <c r="K4" s="65"/>
    </row>
    <row r="5" spans="1:11" s="69" customFormat="1" ht="11.25">
      <c r="A5" s="67"/>
      <c r="B5" s="67"/>
      <c r="C5" s="67"/>
      <c r="D5" s="67"/>
      <c r="E5" s="67"/>
      <c r="F5" s="67"/>
      <c r="G5" s="67"/>
      <c r="H5" s="67"/>
      <c r="I5" s="67"/>
      <c r="J5" s="68"/>
      <c r="K5" s="68"/>
    </row>
    <row r="6" spans="1:11" s="72" customFormat="1" ht="15.75">
      <c r="A6" s="70" t="s">
        <v>0</v>
      </c>
      <c r="B6" s="70" t="s">
        <v>1</v>
      </c>
      <c r="C6" s="57" t="s">
        <v>66</v>
      </c>
      <c r="D6" s="71" t="s">
        <v>2</v>
      </c>
      <c r="E6" s="70" t="s">
        <v>3</v>
      </c>
      <c r="F6" s="70" t="s">
        <v>4</v>
      </c>
      <c r="G6" s="70" t="s">
        <v>5</v>
      </c>
      <c r="H6" s="70" t="s">
        <v>6</v>
      </c>
      <c r="I6" s="96" t="s">
        <v>26</v>
      </c>
      <c r="J6" s="1"/>
      <c r="K6" s="1"/>
    </row>
    <row r="7" spans="1:11" s="72" customFormat="1" ht="15.75">
      <c r="A7" s="73" t="s">
        <v>67</v>
      </c>
      <c r="B7" s="73" t="s">
        <v>7</v>
      </c>
      <c r="C7" s="73" t="s">
        <v>8</v>
      </c>
      <c r="D7" s="73" t="s">
        <v>8</v>
      </c>
      <c r="E7" s="73" t="s">
        <v>8</v>
      </c>
      <c r="F7" s="73" t="s">
        <v>8</v>
      </c>
      <c r="G7" s="73" t="s">
        <v>8</v>
      </c>
      <c r="H7" s="73" t="s">
        <v>9</v>
      </c>
      <c r="I7" s="97"/>
      <c r="J7" s="1"/>
      <c r="K7" s="1"/>
    </row>
    <row r="8" spans="1:11" s="76" customFormat="1" ht="18" customHeight="1">
      <c r="A8" s="74" t="s">
        <v>31</v>
      </c>
      <c r="B8" s="8" t="s">
        <v>32</v>
      </c>
      <c r="C8" s="60">
        <f>'Cumilla '!J7</f>
        <v>293</v>
      </c>
      <c r="D8" s="60">
        <f>'Mymensing '!J7</f>
        <v>705</v>
      </c>
      <c r="E8" s="60">
        <f>Bogura!J7</f>
        <v>143</v>
      </c>
      <c r="F8" s="60">
        <f>'Jessore '!J7</f>
        <v>0</v>
      </c>
      <c r="G8" s="60">
        <f>'Feni '!J7</f>
        <v>0</v>
      </c>
      <c r="H8" s="60">
        <f t="shared" ref="H8:H40" si="0">SUM(C8:G8)</f>
        <v>1141</v>
      </c>
      <c r="I8" s="75"/>
      <c r="J8" s="65"/>
      <c r="K8" s="65"/>
    </row>
    <row r="9" spans="1:11" s="76" customFormat="1" ht="18" customHeight="1">
      <c r="A9" s="77" t="s">
        <v>31</v>
      </c>
      <c r="B9" s="58" t="s">
        <v>10</v>
      </c>
      <c r="C9" s="60">
        <f>'Cumilla '!J8</f>
        <v>307</v>
      </c>
      <c r="D9" s="60">
        <f>'Mymensing '!J8</f>
        <v>234</v>
      </c>
      <c r="E9" s="60">
        <f>Bogura!J8</f>
        <v>37</v>
      </c>
      <c r="F9" s="60">
        <f>'Jessore '!J8</f>
        <v>70</v>
      </c>
      <c r="G9" s="60">
        <f>'Feni '!J8</f>
        <v>160</v>
      </c>
      <c r="H9" s="61">
        <f t="shared" si="0"/>
        <v>808</v>
      </c>
      <c r="I9" s="75"/>
      <c r="J9" s="65"/>
      <c r="K9" s="65"/>
    </row>
    <row r="10" spans="1:11" s="76" customFormat="1" ht="18" customHeight="1">
      <c r="A10" s="77" t="s">
        <v>33</v>
      </c>
      <c r="B10" s="58" t="s">
        <v>10</v>
      </c>
      <c r="C10" s="60">
        <f>'Cumilla '!J9</f>
        <v>7084</v>
      </c>
      <c r="D10" s="60">
        <f>'Mymensing '!J9</f>
        <v>601</v>
      </c>
      <c r="E10" s="60">
        <f>Bogura!J9</f>
        <v>442</v>
      </c>
      <c r="F10" s="60">
        <f>'Jessore '!J9</f>
        <v>4</v>
      </c>
      <c r="G10" s="60">
        <f>'Feni '!J9</f>
        <v>80</v>
      </c>
      <c r="H10" s="62">
        <f t="shared" si="0"/>
        <v>8211</v>
      </c>
      <c r="I10" s="75"/>
      <c r="J10" s="65"/>
      <c r="K10" s="65"/>
    </row>
    <row r="11" spans="1:11" s="76" customFormat="1" ht="18" customHeight="1">
      <c r="A11" s="77" t="s">
        <v>34</v>
      </c>
      <c r="B11" s="58" t="s">
        <v>11</v>
      </c>
      <c r="C11" s="60">
        <f>'Cumilla '!J10</f>
        <v>73</v>
      </c>
      <c r="D11" s="60">
        <f>'Mymensing '!J10</f>
        <v>158</v>
      </c>
      <c r="E11" s="60">
        <f>Bogura!J10</f>
        <v>23</v>
      </c>
      <c r="F11" s="60">
        <f>'Jessore '!J10</f>
        <v>65</v>
      </c>
      <c r="G11" s="60">
        <f>'Feni '!J10</f>
        <v>40</v>
      </c>
      <c r="H11" s="62">
        <f t="shared" si="0"/>
        <v>359</v>
      </c>
      <c r="I11" s="75"/>
      <c r="J11" s="65"/>
      <c r="K11" s="65"/>
    </row>
    <row r="12" spans="1:11" s="76" customFormat="1" ht="18" customHeight="1">
      <c r="A12" s="77" t="s">
        <v>35</v>
      </c>
      <c r="B12" s="58" t="s">
        <v>36</v>
      </c>
      <c r="C12" s="60">
        <f>'Cumilla '!J11</f>
        <v>2238</v>
      </c>
      <c r="D12" s="60">
        <f>'Mymensing '!J11</f>
        <v>806</v>
      </c>
      <c r="E12" s="60">
        <f>Bogura!J11</f>
        <v>81</v>
      </c>
      <c r="F12" s="60">
        <f>'Jessore '!J11</f>
        <v>124</v>
      </c>
      <c r="G12" s="60">
        <f>'Feni '!J11</f>
        <v>0</v>
      </c>
      <c r="H12" s="62">
        <f t="shared" si="0"/>
        <v>3249</v>
      </c>
      <c r="I12" s="75"/>
      <c r="J12" s="65"/>
      <c r="K12" s="65"/>
    </row>
    <row r="13" spans="1:11" s="76" customFormat="1" ht="18" customHeight="1">
      <c r="A13" s="77" t="s">
        <v>35</v>
      </c>
      <c r="B13" s="58" t="s">
        <v>37</v>
      </c>
      <c r="C13" s="60">
        <f>'Cumilla '!J12</f>
        <v>203</v>
      </c>
      <c r="D13" s="60">
        <f>'Mymensing '!J12</f>
        <v>249</v>
      </c>
      <c r="E13" s="60">
        <f>Bogura!J12</f>
        <v>20</v>
      </c>
      <c r="F13" s="60">
        <f>'Jessore '!J12</f>
        <v>189</v>
      </c>
      <c r="G13" s="60">
        <f>'Feni '!J12</f>
        <v>183</v>
      </c>
      <c r="H13" s="62">
        <f t="shared" si="0"/>
        <v>844</v>
      </c>
      <c r="I13" s="75"/>
      <c r="J13" s="65"/>
      <c r="K13" s="65"/>
    </row>
    <row r="14" spans="1:11" s="76" customFormat="1" ht="18" customHeight="1">
      <c r="A14" s="77" t="s">
        <v>38</v>
      </c>
      <c r="B14" s="58" t="s">
        <v>32</v>
      </c>
      <c r="C14" s="60">
        <f>'Cumilla '!J13</f>
        <v>1135</v>
      </c>
      <c r="D14" s="60">
        <f>'Mymensing '!J13</f>
        <v>468</v>
      </c>
      <c r="E14" s="60">
        <f>Bogura!J13</f>
        <v>79</v>
      </c>
      <c r="F14" s="60">
        <f>'Jessore '!J13</f>
        <v>64</v>
      </c>
      <c r="G14" s="60">
        <f>'Feni '!J13</f>
        <v>70</v>
      </c>
      <c r="H14" s="62">
        <f t="shared" si="0"/>
        <v>1816</v>
      </c>
      <c r="I14" s="75"/>
      <c r="J14" s="65"/>
      <c r="K14" s="65"/>
    </row>
    <row r="15" spans="1:11" s="76" customFormat="1" ht="18" customHeight="1">
      <c r="A15" s="77" t="s">
        <v>38</v>
      </c>
      <c r="B15" s="58" t="s">
        <v>39</v>
      </c>
      <c r="C15" s="60">
        <f>'Cumilla '!J14</f>
        <v>613</v>
      </c>
      <c r="D15" s="60">
        <f>'Mymensing '!J14</f>
        <v>175</v>
      </c>
      <c r="E15" s="60">
        <f>Bogura!J14</f>
        <v>26</v>
      </c>
      <c r="F15" s="60">
        <f>'Jessore '!J14</f>
        <v>13</v>
      </c>
      <c r="G15" s="60">
        <f>'Feni '!J14</f>
        <v>134</v>
      </c>
      <c r="H15" s="62">
        <f t="shared" si="0"/>
        <v>961</v>
      </c>
      <c r="I15" s="75"/>
      <c r="J15" s="65"/>
      <c r="K15" s="65"/>
    </row>
    <row r="16" spans="1:11" s="76" customFormat="1" ht="18" customHeight="1">
      <c r="A16" s="77" t="s">
        <v>40</v>
      </c>
      <c r="B16" s="58" t="s">
        <v>39</v>
      </c>
      <c r="C16" s="60">
        <f>'Cumilla '!J15</f>
        <v>114</v>
      </c>
      <c r="D16" s="60">
        <f>'Mymensing '!J15</f>
        <v>368</v>
      </c>
      <c r="E16" s="60">
        <f>Bogura!J15</f>
        <v>34</v>
      </c>
      <c r="F16" s="60">
        <f>'Jessore '!J15</f>
        <v>28</v>
      </c>
      <c r="G16" s="60">
        <f>'Feni '!J15</f>
        <v>48</v>
      </c>
      <c r="H16" s="62">
        <f t="shared" si="0"/>
        <v>592</v>
      </c>
      <c r="I16" s="75"/>
      <c r="J16" s="65"/>
      <c r="K16" s="65"/>
    </row>
    <row r="17" spans="1:11" s="76" customFormat="1" ht="18" customHeight="1">
      <c r="A17" s="77" t="s">
        <v>41</v>
      </c>
      <c r="B17" s="58" t="s">
        <v>42</v>
      </c>
      <c r="C17" s="60">
        <f>'Cumilla '!J16</f>
        <v>216</v>
      </c>
      <c r="D17" s="60">
        <f>'Mymensing '!J16</f>
        <v>467</v>
      </c>
      <c r="E17" s="60">
        <f>Bogura!J16</f>
        <v>73</v>
      </c>
      <c r="F17" s="60">
        <f>'Jessore '!J16</f>
        <v>19</v>
      </c>
      <c r="G17" s="60">
        <f>'Feni '!J16</f>
        <v>35</v>
      </c>
      <c r="H17" s="62">
        <f t="shared" si="0"/>
        <v>810</v>
      </c>
      <c r="I17" s="75"/>
      <c r="J17" s="65"/>
      <c r="K17" s="65"/>
    </row>
    <row r="18" spans="1:11" s="76" customFormat="1" ht="18" customHeight="1">
      <c r="A18" s="77" t="s">
        <v>43</v>
      </c>
      <c r="B18" s="58" t="s">
        <v>42</v>
      </c>
      <c r="C18" s="63">
        <f>'Cumilla '!J17</f>
        <v>1358</v>
      </c>
      <c r="D18" s="60">
        <f>'Mymensing '!J17</f>
        <v>722</v>
      </c>
      <c r="E18" s="60">
        <f>Bogura!J17</f>
        <v>148</v>
      </c>
      <c r="F18" s="60">
        <f>'Jessore '!J17</f>
        <v>111</v>
      </c>
      <c r="G18" s="60">
        <f>'Feni '!J17</f>
        <v>195</v>
      </c>
      <c r="H18" s="62">
        <f t="shared" si="0"/>
        <v>2534</v>
      </c>
      <c r="I18" s="75"/>
      <c r="J18" s="65"/>
      <c r="K18" s="65"/>
    </row>
    <row r="19" spans="1:11" s="76" customFormat="1" ht="18" customHeight="1">
      <c r="A19" s="77" t="s">
        <v>44</v>
      </c>
      <c r="B19" s="58" t="s">
        <v>39</v>
      </c>
      <c r="C19" s="60">
        <f>'Cumilla '!J18</f>
        <v>9</v>
      </c>
      <c r="D19" s="60">
        <f>'Mymensing '!J18</f>
        <v>324</v>
      </c>
      <c r="E19" s="60">
        <f>Bogura!J18</f>
        <v>48</v>
      </c>
      <c r="F19" s="60">
        <f>'Jessore '!J18</f>
        <v>56</v>
      </c>
      <c r="G19" s="60">
        <f>'Feni '!J18</f>
        <v>96</v>
      </c>
      <c r="H19" s="62">
        <f t="shared" si="0"/>
        <v>533</v>
      </c>
      <c r="I19" s="75"/>
      <c r="J19" s="65"/>
      <c r="K19" s="65"/>
    </row>
    <row r="20" spans="1:11" s="76" customFormat="1" ht="18" customHeight="1">
      <c r="A20" s="78" t="s">
        <v>45</v>
      </c>
      <c r="B20" s="58" t="s">
        <v>36</v>
      </c>
      <c r="C20" s="60">
        <f>'Cumilla '!J19</f>
        <v>0</v>
      </c>
      <c r="D20" s="60">
        <f>'Mymensing '!J19</f>
        <v>0</v>
      </c>
      <c r="E20" s="60">
        <f>Bogura!J19</f>
        <v>0</v>
      </c>
      <c r="F20" s="60">
        <f>'Jessore '!J19</f>
        <v>0</v>
      </c>
      <c r="G20" s="60">
        <f>'Feni '!J19</f>
        <v>0</v>
      </c>
      <c r="H20" s="62">
        <f t="shared" si="0"/>
        <v>0</v>
      </c>
      <c r="I20" s="75"/>
      <c r="J20" s="65"/>
      <c r="K20" s="65"/>
    </row>
    <row r="21" spans="1:11" s="76" customFormat="1" ht="18" customHeight="1">
      <c r="A21" s="78" t="s">
        <v>45</v>
      </c>
      <c r="B21" s="58" t="s">
        <v>37</v>
      </c>
      <c r="C21" s="60">
        <f>'Cumilla '!J20</f>
        <v>17</v>
      </c>
      <c r="D21" s="60">
        <f>'Mymensing '!J20</f>
        <v>0</v>
      </c>
      <c r="E21" s="60">
        <f>Bogura!J20</f>
        <v>0</v>
      </c>
      <c r="F21" s="60">
        <f>'Jessore '!J20</f>
        <v>0</v>
      </c>
      <c r="G21" s="60">
        <f>'Feni '!J20</f>
        <v>0</v>
      </c>
      <c r="H21" s="62">
        <f t="shared" si="0"/>
        <v>17</v>
      </c>
      <c r="I21" s="75"/>
      <c r="J21" s="65"/>
      <c r="K21" s="65"/>
    </row>
    <row r="22" spans="1:11" s="76" customFormat="1" ht="18" customHeight="1">
      <c r="A22" s="78" t="s">
        <v>46</v>
      </c>
      <c r="B22" s="58" t="s">
        <v>32</v>
      </c>
      <c r="C22" s="60">
        <f>'Cumilla '!J21</f>
        <v>9</v>
      </c>
      <c r="D22" s="60">
        <f>'Mymensing '!J21</f>
        <v>4</v>
      </c>
      <c r="E22" s="60">
        <f>Bogura!J21</f>
        <v>0</v>
      </c>
      <c r="F22" s="60">
        <f>'Jessore '!J21</f>
        <v>39</v>
      </c>
      <c r="G22" s="60">
        <f>'Feni '!J21</f>
        <v>0</v>
      </c>
      <c r="H22" s="62">
        <f t="shared" si="0"/>
        <v>52</v>
      </c>
      <c r="I22" s="75"/>
      <c r="J22" s="65"/>
      <c r="K22" s="65"/>
    </row>
    <row r="23" spans="1:11" s="76" customFormat="1" ht="18" customHeight="1">
      <c r="A23" s="78" t="s">
        <v>47</v>
      </c>
      <c r="B23" s="58" t="s">
        <v>10</v>
      </c>
      <c r="C23" s="60">
        <f>'Cumilla '!J22</f>
        <v>11</v>
      </c>
      <c r="D23" s="60">
        <f>'Mymensing '!J22</f>
        <v>123</v>
      </c>
      <c r="E23" s="60">
        <f>Bogura!J22</f>
        <v>93</v>
      </c>
      <c r="F23" s="60">
        <f>'Jessore '!J22</f>
        <v>40</v>
      </c>
      <c r="G23" s="60">
        <f>'Feni '!J22</f>
        <v>40</v>
      </c>
      <c r="H23" s="62">
        <f t="shared" si="0"/>
        <v>307</v>
      </c>
      <c r="I23" s="75"/>
      <c r="J23" s="65"/>
      <c r="K23" s="65"/>
    </row>
    <row r="24" spans="1:11" s="76" customFormat="1" ht="18" customHeight="1">
      <c r="A24" s="77" t="s">
        <v>48</v>
      </c>
      <c r="B24" s="58" t="s">
        <v>37</v>
      </c>
      <c r="C24" s="60">
        <f>'Cumilla '!J23</f>
        <v>1268</v>
      </c>
      <c r="D24" s="60">
        <f>'Mymensing '!J23</f>
        <v>371</v>
      </c>
      <c r="E24" s="60">
        <f>Bogura!J23</f>
        <v>0</v>
      </c>
      <c r="F24" s="60">
        <f>'Jessore '!J23</f>
        <v>101</v>
      </c>
      <c r="G24" s="60">
        <f>'Feni '!J23</f>
        <v>68</v>
      </c>
      <c r="H24" s="62">
        <f t="shared" si="0"/>
        <v>1808</v>
      </c>
      <c r="I24" s="75"/>
      <c r="J24" s="65"/>
      <c r="K24" s="65"/>
    </row>
    <row r="25" spans="1:11" s="76" customFormat="1" ht="18" customHeight="1">
      <c r="A25" s="77" t="s">
        <v>68</v>
      </c>
      <c r="B25" s="58" t="s">
        <v>42</v>
      </c>
      <c r="C25" s="60">
        <f>'Cumilla '!J24</f>
        <v>17</v>
      </c>
      <c r="D25" s="60">
        <f>'Mymensing '!J24</f>
        <v>77</v>
      </c>
      <c r="E25" s="60">
        <f>Bogura!J24</f>
        <v>13</v>
      </c>
      <c r="F25" s="60">
        <f>'Jessore '!J24</f>
        <v>8</v>
      </c>
      <c r="G25" s="60">
        <f>'Feni '!J24</f>
        <v>40</v>
      </c>
      <c r="H25" s="62">
        <f t="shared" si="0"/>
        <v>155</v>
      </c>
      <c r="I25" s="75"/>
      <c r="J25" s="65"/>
      <c r="K25" s="65"/>
    </row>
    <row r="26" spans="1:11" s="76" customFormat="1" ht="18" customHeight="1">
      <c r="A26" s="77" t="s">
        <v>69</v>
      </c>
      <c r="B26" s="58" t="s">
        <v>42</v>
      </c>
      <c r="C26" s="60">
        <f>'Cumilla '!J25</f>
        <v>2782</v>
      </c>
      <c r="D26" s="60">
        <f>'Mymensing '!J25</f>
        <v>395</v>
      </c>
      <c r="E26" s="60">
        <f>Bogura!J25</f>
        <v>14</v>
      </c>
      <c r="F26" s="60">
        <f>'Jessore '!J25</f>
        <v>32.5</v>
      </c>
      <c r="G26" s="60">
        <f>'Feni '!J25</f>
        <v>50</v>
      </c>
      <c r="H26" s="62">
        <f t="shared" si="0"/>
        <v>3273.5</v>
      </c>
      <c r="I26" s="75"/>
      <c r="J26" s="65"/>
      <c r="K26" s="65"/>
    </row>
    <row r="27" spans="1:11" s="76" customFormat="1" ht="18" customHeight="1">
      <c r="A27" s="77" t="s">
        <v>49</v>
      </c>
      <c r="B27" s="58" t="s">
        <v>36</v>
      </c>
      <c r="C27" s="60">
        <f>'Cumilla '!J26</f>
        <v>1344</v>
      </c>
      <c r="D27" s="60">
        <f>'Mymensing '!J26</f>
        <v>534</v>
      </c>
      <c r="E27" s="60">
        <f>Bogura!J26</f>
        <v>82</v>
      </c>
      <c r="F27" s="60">
        <f>'Jessore '!J26</f>
        <v>134</v>
      </c>
      <c r="G27" s="60">
        <f>'Feni '!J26</f>
        <v>80</v>
      </c>
      <c r="H27" s="62">
        <f t="shared" si="0"/>
        <v>2174</v>
      </c>
      <c r="I27" s="75"/>
      <c r="J27" s="65"/>
      <c r="K27" s="65"/>
    </row>
    <row r="28" spans="1:11" s="76" customFormat="1" ht="18" customHeight="1">
      <c r="A28" s="77" t="s">
        <v>49</v>
      </c>
      <c r="B28" s="58" t="s">
        <v>37</v>
      </c>
      <c r="C28" s="60">
        <f>'Cumilla '!J27</f>
        <v>1758</v>
      </c>
      <c r="D28" s="60">
        <f>'Mymensing '!J27</f>
        <v>304</v>
      </c>
      <c r="E28" s="60">
        <f>Bogura!J27</f>
        <v>37</v>
      </c>
      <c r="F28" s="60">
        <f>'Jessore '!J27</f>
        <v>144</v>
      </c>
      <c r="G28" s="60">
        <f>'Feni '!J27</f>
        <v>89</v>
      </c>
      <c r="H28" s="62">
        <f t="shared" si="0"/>
        <v>2332</v>
      </c>
      <c r="I28" s="75"/>
      <c r="J28" s="65"/>
      <c r="K28" s="65"/>
    </row>
    <row r="29" spans="1:11" s="76" customFormat="1" ht="18" customHeight="1">
      <c r="A29" s="77" t="s">
        <v>50</v>
      </c>
      <c r="B29" s="58" t="s">
        <v>39</v>
      </c>
      <c r="C29" s="60">
        <f>'Cumilla '!J28</f>
        <v>159</v>
      </c>
      <c r="D29" s="60">
        <f>'Mymensing '!J28</f>
        <v>259</v>
      </c>
      <c r="E29" s="60">
        <f>Bogura!J28</f>
        <v>60</v>
      </c>
      <c r="F29" s="60">
        <f>'Jessore '!J28</f>
        <v>13</v>
      </c>
      <c r="G29" s="60">
        <f>'Feni '!J28</f>
        <v>50</v>
      </c>
      <c r="H29" s="62">
        <f t="shared" si="0"/>
        <v>541</v>
      </c>
      <c r="I29" s="75"/>
      <c r="J29" s="65"/>
      <c r="K29" s="65"/>
    </row>
    <row r="30" spans="1:11" s="76" customFormat="1" ht="18" customHeight="1">
      <c r="A30" s="77" t="s">
        <v>51</v>
      </c>
      <c r="B30" s="58" t="s">
        <v>39</v>
      </c>
      <c r="C30" s="60">
        <f>'Cumilla '!J29</f>
        <v>2186</v>
      </c>
      <c r="D30" s="60">
        <f>'Mymensing '!J29</f>
        <v>628</v>
      </c>
      <c r="E30" s="60">
        <f>Bogura!J29</f>
        <v>29</v>
      </c>
      <c r="F30" s="60">
        <f>'Jessore '!J29</f>
        <v>47</v>
      </c>
      <c r="G30" s="60">
        <f>'Feni '!J29</f>
        <v>44</v>
      </c>
      <c r="H30" s="62">
        <f t="shared" si="0"/>
        <v>2934</v>
      </c>
      <c r="I30" s="75"/>
      <c r="J30" s="65"/>
      <c r="K30" s="65"/>
    </row>
    <row r="31" spans="1:11" s="76" customFormat="1" ht="18" customHeight="1">
      <c r="A31" s="77" t="s">
        <v>52</v>
      </c>
      <c r="B31" s="58" t="s">
        <v>32</v>
      </c>
      <c r="C31" s="60">
        <f>'Cumilla '!J30</f>
        <v>441</v>
      </c>
      <c r="D31" s="60">
        <f>'Mymensing '!J30</f>
        <v>0</v>
      </c>
      <c r="E31" s="60">
        <f>Bogura!J30</f>
        <v>0</v>
      </c>
      <c r="F31" s="60">
        <f>'Jessore '!J30</f>
        <v>0</v>
      </c>
      <c r="G31" s="60">
        <f>'Feni '!J30</f>
        <v>0</v>
      </c>
      <c r="H31" s="62">
        <f t="shared" si="0"/>
        <v>441</v>
      </c>
      <c r="I31" s="75"/>
      <c r="J31" s="65"/>
      <c r="K31" s="65"/>
    </row>
    <row r="32" spans="1:11" s="76" customFormat="1" ht="18" customHeight="1">
      <c r="A32" s="77" t="s">
        <v>52</v>
      </c>
      <c r="B32" s="58" t="s">
        <v>39</v>
      </c>
      <c r="C32" s="60">
        <f>'Cumilla '!J31</f>
        <v>0</v>
      </c>
      <c r="D32" s="60">
        <f>'Mymensing '!J31</f>
        <v>0</v>
      </c>
      <c r="E32" s="60">
        <f>Bogura!J31</f>
        <v>0</v>
      </c>
      <c r="F32" s="60">
        <f>'Jessore '!J31</f>
        <v>0</v>
      </c>
      <c r="G32" s="60">
        <f>'Feni '!J31</f>
        <v>0</v>
      </c>
      <c r="H32" s="62">
        <f t="shared" si="0"/>
        <v>0</v>
      </c>
      <c r="I32" s="75"/>
      <c r="J32" s="65"/>
      <c r="K32" s="65"/>
    </row>
    <row r="33" spans="1:11" s="76" customFormat="1" ht="18" customHeight="1">
      <c r="A33" s="77" t="s">
        <v>53</v>
      </c>
      <c r="B33" s="58" t="s">
        <v>37</v>
      </c>
      <c r="C33" s="60">
        <f>'Cumilla '!J32</f>
        <v>376</v>
      </c>
      <c r="D33" s="60">
        <f>'Mymensing '!J32</f>
        <v>255</v>
      </c>
      <c r="E33" s="60">
        <f>Bogura!J32</f>
        <v>45</v>
      </c>
      <c r="F33" s="60">
        <f>'Jessore '!J32</f>
        <v>15</v>
      </c>
      <c r="G33" s="60">
        <f>'Feni '!J32</f>
        <v>23</v>
      </c>
      <c r="H33" s="62">
        <f t="shared" si="0"/>
        <v>714</v>
      </c>
      <c r="I33" s="75"/>
      <c r="J33" s="65"/>
      <c r="K33" s="65"/>
    </row>
    <row r="34" spans="1:11" s="76" customFormat="1" ht="18" customHeight="1">
      <c r="A34" s="77" t="s">
        <v>54</v>
      </c>
      <c r="B34" s="58" t="s">
        <v>55</v>
      </c>
      <c r="C34" s="60">
        <f>'Cumilla '!J33</f>
        <v>133</v>
      </c>
      <c r="D34" s="60">
        <f>'Mymensing '!J33</f>
        <v>1367</v>
      </c>
      <c r="E34" s="60">
        <f>Bogura!J33</f>
        <v>203</v>
      </c>
      <c r="F34" s="60">
        <f>'Jessore '!J33</f>
        <v>91</v>
      </c>
      <c r="G34" s="60">
        <f>'Feni '!J33</f>
        <v>215</v>
      </c>
      <c r="H34" s="62">
        <f t="shared" si="0"/>
        <v>2009</v>
      </c>
      <c r="I34" s="75"/>
      <c r="J34" s="65"/>
      <c r="K34" s="65"/>
    </row>
    <row r="35" spans="1:11" s="76" customFormat="1" ht="18" customHeight="1">
      <c r="A35" s="77" t="s">
        <v>54</v>
      </c>
      <c r="B35" s="58" t="s">
        <v>56</v>
      </c>
      <c r="C35" s="60">
        <f>'Cumilla '!J34</f>
        <v>364</v>
      </c>
      <c r="D35" s="60">
        <f>'Mymensing '!J34</f>
        <v>574</v>
      </c>
      <c r="E35" s="60">
        <f>Bogura!J34</f>
        <v>55</v>
      </c>
      <c r="F35" s="60">
        <f>'Jessore '!J34</f>
        <v>356</v>
      </c>
      <c r="G35" s="60">
        <f>'Feni '!J34</f>
        <v>254</v>
      </c>
      <c r="H35" s="62">
        <f t="shared" si="0"/>
        <v>1603</v>
      </c>
      <c r="I35" s="75"/>
      <c r="J35" s="65"/>
      <c r="K35" s="65"/>
    </row>
    <row r="36" spans="1:11" s="76" customFormat="1" ht="18" customHeight="1">
      <c r="A36" s="77" t="s">
        <v>57</v>
      </c>
      <c r="B36" s="58" t="s">
        <v>32</v>
      </c>
      <c r="C36" s="60">
        <f>'Cumilla '!J35</f>
        <v>371</v>
      </c>
      <c r="D36" s="60">
        <f>'Mymensing '!J35</f>
        <v>569</v>
      </c>
      <c r="E36" s="60">
        <f>Bogura!J35</f>
        <v>80</v>
      </c>
      <c r="F36" s="60">
        <f>'Jessore '!J35</f>
        <v>144</v>
      </c>
      <c r="G36" s="60">
        <f>'Feni '!J35</f>
        <v>199</v>
      </c>
      <c r="H36" s="62">
        <f t="shared" si="0"/>
        <v>1363</v>
      </c>
      <c r="I36" s="75"/>
      <c r="J36" s="65"/>
      <c r="K36" s="65"/>
    </row>
    <row r="37" spans="1:11" s="76" customFormat="1" ht="18" customHeight="1">
      <c r="A37" s="77" t="s">
        <v>57</v>
      </c>
      <c r="B37" s="58" t="s">
        <v>58</v>
      </c>
      <c r="C37" s="60">
        <f>'Cumilla '!J36</f>
        <v>1809</v>
      </c>
      <c r="D37" s="60">
        <f>'Mymensing '!J36</f>
        <v>560</v>
      </c>
      <c r="E37" s="60">
        <f>Bogura!J36</f>
        <v>35</v>
      </c>
      <c r="F37" s="60">
        <f>'Jessore '!J36</f>
        <v>159</v>
      </c>
      <c r="G37" s="60">
        <f>'Feni '!J36</f>
        <v>113</v>
      </c>
      <c r="H37" s="62">
        <f t="shared" si="0"/>
        <v>2676</v>
      </c>
      <c r="I37" s="75"/>
      <c r="J37" s="65"/>
      <c r="K37" s="65"/>
    </row>
    <row r="38" spans="1:11" s="76" customFormat="1" ht="18" customHeight="1">
      <c r="A38" s="77" t="s">
        <v>59</v>
      </c>
      <c r="B38" s="58" t="s">
        <v>36</v>
      </c>
      <c r="C38" s="60">
        <f>'Cumilla '!J37</f>
        <v>200</v>
      </c>
      <c r="D38" s="60">
        <f>'Mymensing '!J37</f>
        <v>430</v>
      </c>
      <c r="E38" s="60">
        <f>Bogura!J37</f>
        <v>69</v>
      </c>
      <c r="F38" s="60">
        <f>'Jessore '!J37</f>
        <v>0</v>
      </c>
      <c r="G38" s="60">
        <f>'Feni '!J37</f>
        <v>90</v>
      </c>
      <c r="H38" s="62">
        <f t="shared" si="0"/>
        <v>789</v>
      </c>
      <c r="I38" s="75"/>
      <c r="J38" s="65"/>
      <c r="K38" s="65"/>
    </row>
    <row r="39" spans="1:11" s="76" customFormat="1" ht="18" customHeight="1">
      <c r="A39" s="77" t="s">
        <v>59</v>
      </c>
      <c r="B39" s="58" t="s">
        <v>37</v>
      </c>
      <c r="C39" s="60">
        <f>'Cumilla '!J38</f>
        <v>166</v>
      </c>
      <c r="D39" s="60">
        <f>'Mymensing '!J38</f>
        <v>195</v>
      </c>
      <c r="E39" s="60">
        <f>Bogura!J38</f>
        <v>0</v>
      </c>
      <c r="F39" s="60">
        <f>'Jessore '!J38</f>
        <v>119</v>
      </c>
      <c r="G39" s="60">
        <f>'Feni '!J38</f>
        <v>115</v>
      </c>
      <c r="H39" s="62">
        <f t="shared" si="0"/>
        <v>595</v>
      </c>
      <c r="I39" s="75"/>
      <c r="J39" s="65"/>
      <c r="K39" s="65"/>
    </row>
    <row r="40" spans="1:11" s="76" customFormat="1" ht="18" customHeight="1">
      <c r="A40" s="77" t="s">
        <v>75</v>
      </c>
      <c r="B40" s="58" t="s">
        <v>77</v>
      </c>
      <c r="C40" s="60">
        <f>'Cumilla '!J39</f>
        <v>0</v>
      </c>
      <c r="D40" s="60">
        <f>'Mymensing '!J39</f>
        <v>0</v>
      </c>
      <c r="E40" s="60">
        <f>Bogura!J39</f>
        <v>0</v>
      </c>
      <c r="F40" s="60">
        <f>'Jessore '!J39</f>
        <v>60</v>
      </c>
      <c r="G40" s="60">
        <f>'Feni '!J39</f>
        <v>0</v>
      </c>
      <c r="H40" s="62">
        <f t="shared" si="0"/>
        <v>60</v>
      </c>
      <c r="I40" s="75"/>
      <c r="J40" s="65"/>
      <c r="K40" s="65"/>
    </row>
    <row r="41" spans="1:11" s="80" customFormat="1" ht="18" customHeight="1">
      <c r="A41" s="59" t="s">
        <v>13</v>
      </c>
      <c r="B41" s="22"/>
      <c r="C41" s="64">
        <f>SUM(C8:C40)</f>
        <v>27054</v>
      </c>
      <c r="D41" s="64">
        <f>SUM(D8:D40)</f>
        <v>11922</v>
      </c>
      <c r="E41" s="64">
        <f>SUM(E8:E39)</f>
        <v>1969</v>
      </c>
      <c r="F41" s="64">
        <f>SUM(F8:F39)</f>
        <v>2185.5</v>
      </c>
      <c r="G41" s="64">
        <f>SUM(G8:G39)</f>
        <v>2511</v>
      </c>
      <c r="H41" s="64">
        <f>SUM(H8:H40)</f>
        <v>45701.5</v>
      </c>
      <c r="I41" s="64"/>
      <c r="J41" s="79"/>
      <c r="K41" s="79"/>
    </row>
    <row r="42" spans="1:11" s="72" customFormat="1" ht="15.75">
      <c r="A42" s="23"/>
      <c r="B42" s="23"/>
      <c r="C42" s="81"/>
      <c r="D42" s="81"/>
      <c r="E42" s="81"/>
      <c r="F42" s="81"/>
      <c r="G42" s="81"/>
      <c r="H42" s="81"/>
      <c r="I42" s="81"/>
      <c r="J42" s="3"/>
      <c r="K42" s="3"/>
    </row>
    <row r="43" spans="1:11" s="72" customFormat="1" ht="15.75">
      <c r="A43" s="23"/>
      <c r="B43" s="23"/>
      <c r="C43" s="81"/>
      <c r="D43" s="81"/>
      <c r="E43" s="81"/>
      <c r="F43" s="81"/>
      <c r="G43" s="81"/>
      <c r="H43" s="81"/>
      <c r="I43" s="81"/>
      <c r="J43" s="3"/>
      <c r="K43" s="3"/>
    </row>
    <row r="44" spans="1:11" s="72" customFormat="1" ht="15.75">
      <c r="A44" s="23"/>
      <c r="B44" s="23"/>
      <c r="C44" s="81"/>
      <c r="D44" s="81"/>
      <c r="E44" s="81"/>
      <c r="F44" s="81"/>
      <c r="G44" s="81"/>
      <c r="H44" s="81"/>
      <c r="I44" s="81"/>
      <c r="J44" s="3"/>
      <c r="K44" s="3"/>
    </row>
    <row r="45" spans="1:11" s="72" customForma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s="72" customFormat="1" ht="15.75">
      <c r="A46" s="1" t="s">
        <v>70</v>
      </c>
      <c r="B46" s="1"/>
      <c r="C46" s="1"/>
      <c r="D46" s="2" t="s">
        <v>71</v>
      </c>
      <c r="E46" s="1"/>
      <c r="I46" s="3" t="s">
        <v>73</v>
      </c>
      <c r="J46" s="1"/>
      <c r="K46" s="1"/>
    </row>
    <row r="47" spans="1:11" s="72" customForma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</row>
    <row r="49" spans="1:1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</row>
    <row r="50" spans="1:1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</row>
    <row r="51" spans="1:1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</row>
    <row r="52" spans="1:1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</row>
    <row r="53" spans="1:1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</row>
    <row r="54" spans="1:1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</row>
    <row r="55" spans="1:1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</row>
    <row r="56" spans="1:1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</row>
    <row r="57" spans="1:1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</row>
    <row r="58" spans="1:1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</row>
    <row r="59" spans="1:1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</row>
    <row r="60" spans="1:1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</row>
    <row r="61" spans="1:1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</row>
    <row r="62" spans="1:1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</row>
    <row r="63" spans="1:1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</row>
    <row r="64" spans="1:1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</row>
    <row r="65" spans="1:1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</row>
    <row r="66" spans="1:1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</row>
    <row r="67" spans="1:1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</row>
    <row r="68" spans="1:1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</row>
    <row r="69" spans="1:1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</row>
    <row r="70" spans="1:1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</row>
    <row r="71" spans="1:1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</row>
    <row r="72" spans="1:1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</row>
    <row r="73" spans="1:1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</row>
    <row r="74" spans="1:1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</row>
    <row r="75" spans="1:1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</row>
    <row r="76" spans="1:1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</row>
    <row r="77" spans="1:1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</row>
    <row r="78" spans="1:1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</row>
    <row r="79" spans="1:1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</row>
    <row r="80" spans="1:1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</row>
    <row r="81" spans="1:1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</row>
    <row r="82" spans="1:1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</row>
    <row r="83" spans="1:1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</row>
  </sheetData>
  <sortState xmlns:xlrd2="http://schemas.microsoft.com/office/spreadsheetml/2017/richdata2" ref="A8:P38">
    <sortCondition ref="A38"/>
  </sortState>
  <mergeCells count="4">
    <mergeCell ref="A2:I2"/>
    <mergeCell ref="A3:I3"/>
    <mergeCell ref="A4:I4"/>
    <mergeCell ref="I6:I7"/>
  </mergeCells>
  <pageMargins left="0.5" right="0" top="0.5" bottom="0.12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"/>
  <sheetViews>
    <sheetView view="pageLayout" topLeftCell="A16" zoomScaleNormal="100" workbookViewId="0">
      <selection activeCell="I22" sqref="I22"/>
    </sheetView>
  </sheetViews>
  <sheetFormatPr defaultRowHeight="15"/>
  <cols>
    <col min="1" max="1" width="18.7109375" customWidth="1"/>
    <col min="2" max="2" width="8.42578125" customWidth="1"/>
    <col min="4" max="4" width="8.7109375" customWidth="1"/>
    <col min="5" max="5" width="8" customWidth="1"/>
    <col min="9" max="9" width="7.42578125" customWidth="1"/>
    <col min="10" max="10" width="8.5703125" customWidth="1"/>
    <col min="11" max="11" width="8" customWidth="1"/>
  </cols>
  <sheetData>
    <row r="1" spans="1:11" ht="27">
      <c r="A1" s="98" t="s">
        <v>14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>
      <c r="A2" s="99" t="s">
        <v>15</v>
      </c>
      <c r="B2" s="99"/>
      <c r="C2" s="99"/>
      <c r="D2" s="99"/>
      <c r="E2" s="99"/>
      <c r="F2" s="99"/>
      <c r="G2" s="99"/>
      <c r="H2" s="99"/>
      <c r="I2" s="99"/>
      <c r="J2" s="99"/>
      <c r="K2" s="99"/>
    </row>
    <row r="3" spans="1:11" ht="18">
      <c r="A3" s="100" t="s">
        <v>16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</row>
    <row r="4" spans="1:11">
      <c r="A4" s="1" t="s">
        <v>78</v>
      </c>
      <c r="B4" s="1"/>
      <c r="C4" s="1"/>
      <c r="D4" s="1"/>
      <c r="E4" s="1"/>
      <c r="F4" s="1"/>
      <c r="G4" s="1"/>
      <c r="H4" s="2"/>
      <c r="J4" s="2"/>
      <c r="K4" s="3" t="s">
        <v>62</v>
      </c>
    </row>
    <row r="5" spans="1:11" ht="17.25" customHeight="1">
      <c r="A5" s="101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102" t="s">
        <v>26</v>
      </c>
    </row>
    <row r="6" spans="1:11" ht="17.25" customHeight="1">
      <c r="A6" s="101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103"/>
    </row>
    <row r="7" spans="1:11" ht="17.25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56">
        <v>180</v>
      </c>
      <c r="D7" s="52">
        <v>113</v>
      </c>
      <c r="E7" s="52"/>
      <c r="F7" s="52">
        <f>C7+D7+E7</f>
        <v>293</v>
      </c>
      <c r="G7" s="52"/>
      <c r="H7" s="52"/>
      <c r="I7" s="52"/>
      <c r="J7" s="52">
        <f>F7-G7-H7-I7</f>
        <v>293</v>
      </c>
      <c r="K7" s="52"/>
    </row>
    <row r="8" spans="1:11" ht="17.25" customHeight="1">
      <c r="A8" s="7" t="str">
        <f>'Company Stock '!A9</f>
        <v xml:space="preserve">Aqua Amla </v>
      </c>
      <c r="B8" s="8" t="str">
        <f>'Company Stock '!B9</f>
        <v>500gm</v>
      </c>
      <c r="C8" s="56">
        <v>122</v>
      </c>
      <c r="D8" s="12">
        <v>201</v>
      </c>
      <c r="E8" s="12">
        <v>8</v>
      </c>
      <c r="F8" s="52">
        <f t="shared" ref="F8:F38" si="0">C8+D8+E8</f>
        <v>331</v>
      </c>
      <c r="G8" s="12"/>
      <c r="H8" s="12">
        <v>24</v>
      </c>
      <c r="I8" s="12"/>
      <c r="J8" s="52">
        <f t="shared" ref="J8:J38" si="1">F8-G8-H8-I8</f>
        <v>307</v>
      </c>
      <c r="K8" s="12"/>
    </row>
    <row r="9" spans="1:11" ht="17.25" customHeight="1">
      <c r="A9" s="7" t="str">
        <f>'Company Stock '!A10</f>
        <v xml:space="preserve">Aqua Milk Premium </v>
      </c>
      <c r="B9" s="8" t="str">
        <f>'Company Stock '!B10</f>
        <v>500gm</v>
      </c>
      <c r="C9" s="56">
        <v>7908</v>
      </c>
      <c r="D9" s="12"/>
      <c r="E9" s="12">
        <v>3</v>
      </c>
      <c r="F9" s="52">
        <f t="shared" si="0"/>
        <v>7911</v>
      </c>
      <c r="G9" s="12">
        <v>700</v>
      </c>
      <c r="H9" s="12">
        <v>125</v>
      </c>
      <c r="I9" s="12">
        <v>2</v>
      </c>
      <c r="J9" s="52">
        <f t="shared" si="1"/>
        <v>7084</v>
      </c>
      <c r="K9" s="12"/>
    </row>
    <row r="10" spans="1:11" ht="17.25" customHeight="1">
      <c r="A10" s="7" t="str">
        <f>'Company Stock '!A11</f>
        <v xml:space="preserve">Aqua Safe Plus </v>
      </c>
      <c r="B10" s="8" t="str">
        <f>'Company Stock '!B11</f>
        <v>5kg</v>
      </c>
      <c r="C10" s="56">
        <v>126</v>
      </c>
      <c r="D10" s="12">
        <v>223</v>
      </c>
      <c r="E10" s="12"/>
      <c r="F10" s="52">
        <f t="shared" si="0"/>
        <v>349</v>
      </c>
      <c r="G10" s="12">
        <v>224</v>
      </c>
      <c r="H10" s="12">
        <v>51</v>
      </c>
      <c r="I10" s="12">
        <v>1</v>
      </c>
      <c r="J10" s="52">
        <f t="shared" si="1"/>
        <v>73</v>
      </c>
      <c r="K10" s="12">
        <v>60</v>
      </c>
    </row>
    <row r="11" spans="1:11" ht="17.25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56">
        <v>2271</v>
      </c>
      <c r="D11" s="12"/>
      <c r="E11" s="12"/>
      <c r="F11" s="52">
        <f t="shared" si="0"/>
        <v>2271</v>
      </c>
      <c r="G11" s="12"/>
      <c r="H11" s="12">
        <v>32</v>
      </c>
      <c r="I11" s="12">
        <v>1</v>
      </c>
      <c r="J11" s="52">
        <f t="shared" si="1"/>
        <v>2238</v>
      </c>
      <c r="K11" s="12"/>
    </row>
    <row r="12" spans="1:11" ht="17.25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56">
        <v>399</v>
      </c>
      <c r="D12" s="12"/>
      <c r="E12" s="12">
        <v>19</v>
      </c>
      <c r="F12" s="52">
        <f t="shared" si="0"/>
        <v>418</v>
      </c>
      <c r="G12" s="12">
        <v>150</v>
      </c>
      <c r="H12" s="12">
        <v>65</v>
      </c>
      <c r="I12" s="12"/>
      <c r="J12" s="52">
        <f t="shared" si="1"/>
        <v>203</v>
      </c>
      <c r="K12" s="12">
        <v>150</v>
      </c>
    </row>
    <row r="13" spans="1:11" ht="17.25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56">
        <v>1121</v>
      </c>
      <c r="D13" s="12">
        <v>76</v>
      </c>
      <c r="E13" s="12"/>
      <c r="F13" s="52">
        <f t="shared" si="0"/>
        <v>1197</v>
      </c>
      <c r="G13" s="12"/>
      <c r="H13" s="12">
        <v>62</v>
      </c>
      <c r="I13" s="12"/>
      <c r="J13" s="52">
        <f t="shared" si="1"/>
        <v>1135</v>
      </c>
      <c r="K13" s="12"/>
    </row>
    <row r="14" spans="1:11" ht="17.25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56">
        <v>742</v>
      </c>
      <c r="D14" s="12">
        <v>3</v>
      </c>
      <c r="E14" s="12"/>
      <c r="F14" s="52">
        <f t="shared" si="0"/>
        <v>745</v>
      </c>
      <c r="G14" s="12">
        <v>75</v>
      </c>
      <c r="H14" s="12">
        <v>57</v>
      </c>
      <c r="I14" s="12"/>
      <c r="J14" s="52">
        <f t="shared" si="1"/>
        <v>613</v>
      </c>
      <c r="K14" s="12"/>
    </row>
    <row r="15" spans="1:11" ht="17.25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56">
        <v>112</v>
      </c>
      <c r="D15" s="12"/>
      <c r="E15" s="12">
        <v>2</v>
      </c>
      <c r="F15" s="52">
        <f t="shared" si="0"/>
        <v>114</v>
      </c>
      <c r="G15" s="12"/>
      <c r="H15" s="12"/>
      <c r="I15" s="12"/>
      <c r="J15" s="52">
        <f t="shared" si="1"/>
        <v>114</v>
      </c>
      <c r="K15" s="12"/>
    </row>
    <row r="16" spans="1:11" ht="17.25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56">
        <v>58</v>
      </c>
      <c r="D16" s="12">
        <v>673</v>
      </c>
      <c r="E16" s="12"/>
      <c r="F16" s="52">
        <f t="shared" si="0"/>
        <v>731</v>
      </c>
      <c r="G16" s="12">
        <v>418</v>
      </c>
      <c r="H16" s="12">
        <v>90</v>
      </c>
      <c r="I16" s="12">
        <v>7</v>
      </c>
      <c r="J16" s="52">
        <f t="shared" si="1"/>
        <v>216</v>
      </c>
      <c r="K16" s="12">
        <v>88</v>
      </c>
    </row>
    <row r="17" spans="1:11" ht="17.25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56">
        <v>2556</v>
      </c>
      <c r="D17" s="54"/>
      <c r="E17" s="55">
        <v>2</v>
      </c>
      <c r="F17" s="52">
        <f t="shared" si="0"/>
        <v>2558</v>
      </c>
      <c r="G17" s="55">
        <v>1050</v>
      </c>
      <c r="H17" s="55">
        <v>147</v>
      </c>
      <c r="I17" s="55">
        <v>3</v>
      </c>
      <c r="J17" s="52">
        <f t="shared" si="1"/>
        <v>1358</v>
      </c>
      <c r="K17" s="12">
        <v>150</v>
      </c>
    </row>
    <row r="18" spans="1:11" ht="17.25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56">
        <v>207</v>
      </c>
      <c r="D18" s="12">
        <v>544</v>
      </c>
      <c r="E18" s="12">
        <v>11</v>
      </c>
      <c r="F18" s="52">
        <f t="shared" si="0"/>
        <v>762</v>
      </c>
      <c r="G18" s="12">
        <v>288</v>
      </c>
      <c r="H18" s="12">
        <v>454</v>
      </c>
      <c r="I18" s="12">
        <v>11</v>
      </c>
      <c r="J18" s="52">
        <f t="shared" si="1"/>
        <v>9</v>
      </c>
      <c r="K18" s="12"/>
    </row>
    <row r="19" spans="1:11" ht="17.25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56"/>
      <c r="D19" s="12"/>
      <c r="E19" s="12"/>
      <c r="F19" s="52">
        <f t="shared" si="0"/>
        <v>0</v>
      </c>
      <c r="G19" s="12"/>
      <c r="H19" s="12"/>
      <c r="I19" s="12"/>
      <c r="J19" s="52">
        <f t="shared" si="1"/>
        <v>0</v>
      </c>
      <c r="K19" s="12"/>
    </row>
    <row r="20" spans="1:11" ht="17.25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56">
        <v>16</v>
      </c>
      <c r="D20" s="12"/>
      <c r="E20" s="12">
        <v>1</v>
      </c>
      <c r="F20" s="52">
        <f t="shared" si="0"/>
        <v>17</v>
      </c>
      <c r="G20" s="12"/>
      <c r="H20" s="12"/>
      <c r="I20" s="12"/>
      <c r="J20" s="52">
        <f t="shared" si="1"/>
        <v>17</v>
      </c>
      <c r="K20" s="12"/>
    </row>
    <row r="21" spans="1:11" ht="17.25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56">
        <v>4</v>
      </c>
      <c r="D21" s="12"/>
      <c r="E21" s="12">
        <v>5</v>
      </c>
      <c r="F21" s="52">
        <f t="shared" si="0"/>
        <v>9</v>
      </c>
      <c r="G21" s="12"/>
      <c r="H21" s="12"/>
      <c r="I21" s="12"/>
      <c r="J21" s="52">
        <f t="shared" si="1"/>
        <v>9</v>
      </c>
      <c r="K21" s="12"/>
    </row>
    <row r="22" spans="1:11" ht="17.25" customHeight="1">
      <c r="A22" s="7" t="str">
        <f>'Company Stock '!A23</f>
        <v>Green Vita</v>
      </c>
      <c r="B22" s="8" t="str">
        <f>'Company Stock '!B23</f>
        <v>500gm</v>
      </c>
      <c r="C22" s="56">
        <v>174</v>
      </c>
      <c r="D22" s="12">
        <v>400</v>
      </c>
      <c r="E22" s="12"/>
      <c r="F22" s="52">
        <f t="shared" si="0"/>
        <v>574</v>
      </c>
      <c r="G22" s="12">
        <v>460</v>
      </c>
      <c r="H22" s="12">
        <v>100</v>
      </c>
      <c r="I22" s="12">
        <v>3</v>
      </c>
      <c r="J22" s="52">
        <f t="shared" si="1"/>
        <v>11</v>
      </c>
      <c r="K22" s="12">
        <v>160</v>
      </c>
    </row>
    <row r="23" spans="1:11" ht="17.25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56">
        <v>1265</v>
      </c>
      <c r="D23" s="12"/>
      <c r="E23" s="12">
        <v>3</v>
      </c>
      <c r="F23" s="52">
        <f t="shared" si="0"/>
        <v>1268</v>
      </c>
      <c r="G23" s="12"/>
      <c r="H23" s="12"/>
      <c r="I23" s="12"/>
      <c r="J23" s="52">
        <f t="shared" si="1"/>
        <v>1268</v>
      </c>
      <c r="K23" s="12"/>
    </row>
    <row r="24" spans="1:11" ht="17.25" customHeight="1">
      <c r="A24" s="7" t="str">
        <f>'Company Stock '!A25</f>
        <v>Oxy-win (Granular)</v>
      </c>
      <c r="B24" s="8" t="str">
        <f>'Company Stock '!B25</f>
        <v xml:space="preserve">1kg </v>
      </c>
      <c r="C24" s="56">
        <v>117</v>
      </c>
      <c r="D24" s="12"/>
      <c r="E24" s="12"/>
      <c r="F24" s="52">
        <f t="shared" si="0"/>
        <v>117</v>
      </c>
      <c r="G24" s="12">
        <v>100</v>
      </c>
      <c r="H24" s="12"/>
      <c r="I24" s="12"/>
      <c r="J24" s="52">
        <f t="shared" si="1"/>
        <v>17</v>
      </c>
      <c r="K24" s="12"/>
    </row>
    <row r="25" spans="1:11" ht="17.25" customHeight="1">
      <c r="A25" s="7" t="str">
        <f>'Company Stock '!A26</f>
        <v>Oxy-win (Tablet)</v>
      </c>
      <c r="B25" s="8" t="str">
        <f>'Company Stock '!B26</f>
        <v xml:space="preserve">1kg </v>
      </c>
      <c r="C25" s="56">
        <v>3675</v>
      </c>
      <c r="D25" s="12"/>
      <c r="E25" s="12"/>
      <c r="F25" s="52">
        <f t="shared" si="0"/>
        <v>3675</v>
      </c>
      <c r="G25" s="12">
        <v>400</v>
      </c>
      <c r="H25" s="12">
        <v>493</v>
      </c>
      <c r="I25" s="12"/>
      <c r="J25" s="52">
        <f t="shared" si="1"/>
        <v>2782</v>
      </c>
      <c r="K25" s="12"/>
    </row>
    <row r="26" spans="1:11" ht="17.25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56">
        <v>1754</v>
      </c>
      <c r="D26" s="12"/>
      <c r="E26" s="12">
        <v>15</v>
      </c>
      <c r="F26" s="52">
        <f t="shared" si="0"/>
        <v>1769</v>
      </c>
      <c r="G26" s="12">
        <v>400</v>
      </c>
      <c r="H26" s="12">
        <v>24</v>
      </c>
      <c r="I26" s="12">
        <v>1</v>
      </c>
      <c r="J26" s="52">
        <f t="shared" si="1"/>
        <v>1344</v>
      </c>
      <c r="K26" s="12"/>
    </row>
    <row r="27" spans="1:11" ht="17.25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56">
        <v>1868</v>
      </c>
      <c r="D27" s="12"/>
      <c r="E27" s="12">
        <v>2</v>
      </c>
      <c r="F27" s="52">
        <f t="shared" si="0"/>
        <v>1870</v>
      </c>
      <c r="G27" s="12">
        <v>75</v>
      </c>
      <c r="H27" s="12">
        <v>37</v>
      </c>
      <c r="I27" s="12"/>
      <c r="J27" s="52">
        <f t="shared" si="1"/>
        <v>1758</v>
      </c>
      <c r="K27" s="12"/>
    </row>
    <row r="28" spans="1:11" ht="17.25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56">
        <v>343</v>
      </c>
      <c r="D28" s="12"/>
      <c r="E28" s="12"/>
      <c r="F28" s="52">
        <f t="shared" si="0"/>
        <v>343</v>
      </c>
      <c r="G28" s="12">
        <v>180</v>
      </c>
      <c r="H28" s="12">
        <v>4</v>
      </c>
      <c r="I28" s="12"/>
      <c r="J28" s="52">
        <f t="shared" si="1"/>
        <v>159</v>
      </c>
      <c r="K28" s="12">
        <v>180</v>
      </c>
    </row>
    <row r="29" spans="1:11" ht="17.25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56">
        <v>2343</v>
      </c>
      <c r="D29" s="12"/>
      <c r="E29" s="12">
        <v>8</v>
      </c>
      <c r="F29" s="52">
        <f t="shared" si="0"/>
        <v>2351</v>
      </c>
      <c r="G29" s="12">
        <v>162</v>
      </c>
      <c r="H29" s="12">
        <v>3</v>
      </c>
      <c r="I29" s="12"/>
      <c r="J29" s="52">
        <f t="shared" si="1"/>
        <v>2186</v>
      </c>
      <c r="K29" s="12">
        <v>18</v>
      </c>
    </row>
    <row r="30" spans="1:11" ht="17.25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56">
        <v>462</v>
      </c>
      <c r="D30" s="55"/>
      <c r="E30" s="55"/>
      <c r="F30" s="52">
        <f t="shared" si="0"/>
        <v>462</v>
      </c>
      <c r="G30" s="55"/>
      <c r="H30" s="55">
        <v>20</v>
      </c>
      <c r="I30" s="55">
        <v>1</v>
      </c>
      <c r="J30" s="52">
        <f t="shared" si="1"/>
        <v>441</v>
      </c>
      <c r="K30" s="55"/>
    </row>
    <row r="31" spans="1:11" ht="17.25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56"/>
      <c r="D31" s="55"/>
      <c r="E31" s="55"/>
      <c r="F31" s="52">
        <f t="shared" si="0"/>
        <v>0</v>
      </c>
      <c r="G31" s="55"/>
      <c r="H31" s="55"/>
      <c r="I31" s="55"/>
      <c r="J31" s="52">
        <f t="shared" si="1"/>
        <v>0</v>
      </c>
      <c r="K31" s="55"/>
    </row>
    <row r="32" spans="1:11" ht="17.25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56">
        <v>570</v>
      </c>
      <c r="D32" s="12"/>
      <c r="E32" s="12">
        <v>4</v>
      </c>
      <c r="F32" s="52">
        <f t="shared" si="0"/>
        <v>574</v>
      </c>
      <c r="G32" s="12">
        <v>197</v>
      </c>
      <c r="H32" s="12">
        <v>1</v>
      </c>
      <c r="I32" s="12"/>
      <c r="J32" s="52">
        <f t="shared" si="1"/>
        <v>376</v>
      </c>
      <c r="K32" s="12"/>
    </row>
    <row r="33" spans="1:11" ht="17.25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56">
        <v>283</v>
      </c>
      <c r="D33" s="12">
        <v>1000</v>
      </c>
      <c r="E33" s="12">
        <v>2</v>
      </c>
      <c r="F33" s="52">
        <f t="shared" si="0"/>
        <v>1285</v>
      </c>
      <c r="G33" s="12">
        <v>700</v>
      </c>
      <c r="H33" s="12">
        <v>434</v>
      </c>
      <c r="I33" s="12">
        <v>18</v>
      </c>
      <c r="J33" s="52">
        <f t="shared" si="1"/>
        <v>133</v>
      </c>
      <c r="K33" s="12"/>
    </row>
    <row r="34" spans="1:11" ht="17.25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56">
        <v>417</v>
      </c>
      <c r="D34" s="12">
        <v>672</v>
      </c>
      <c r="E34" s="12">
        <v>3</v>
      </c>
      <c r="F34" s="52">
        <f t="shared" si="0"/>
        <v>1092</v>
      </c>
      <c r="G34" s="12">
        <v>528</v>
      </c>
      <c r="H34" s="12">
        <v>198</v>
      </c>
      <c r="I34" s="12">
        <v>2</v>
      </c>
      <c r="J34" s="52">
        <f t="shared" si="1"/>
        <v>364</v>
      </c>
      <c r="K34" s="12">
        <v>96</v>
      </c>
    </row>
    <row r="35" spans="1:11" ht="17.25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56">
        <v>387</v>
      </c>
      <c r="D35" s="12"/>
      <c r="E35" s="12">
        <v>5</v>
      </c>
      <c r="F35" s="52">
        <f t="shared" si="0"/>
        <v>392</v>
      </c>
      <c r="G35" s="12"/>
      <c r="H35" s="12">
        <v>21</v>
      </c>
      <c r="I35" s="12"/>
      <c r="J35" s="52">
        <f t="shared" si="1"/>
        <v>371</v>
      </c>
      <c r="K35" s="12"/>
    </row>
    <row r="36" spans="1:11" ht="17.25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56">
        <v>1814</v>
      </c>
      <c r="D36" s="12">
        <v>13</v>
      </c>
      <c r="E36" s="12">
        <v>3</v>
      </c>
      <c r="F36" s="52">
        <f t="shared" si="0"/>
        <v>1830</v>
      </c>
      <c r="G36" s="12"/>
      <c r="H36" s="12">
        <v>21</v>
      </c>
      <c r="I36" s="12"/>
      <c r="J36" s="52">
        <f t="shared" si="1"/>
        <v>1809</v>
      </c>
      <c r="K36" s="12"/>
    </row>
    <row r="37" spans="1:11" ht="17.25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56">
        <v>76</v>
      </c>
      <c r="D37" s="12">
        <v>139</v>
      </c>
      <c r="E37" s="12"/>
      <c r="F37" s="52">
        <f t="shared" si="0"/>
        <v>215</v>
      </c>
      <c r="G37" s="12"/>
      <c r="H37" s="12">
        <v>15</v>
      </c>
      <c r="I37" s="12"/>
      <c r="J37" s="52">
        <f t="shared" si="1"/>
        <v>200</v>
      </c>
      <c r="K37" s="12"/>
    </row>
    <row r="38" spans="1:11" ht="17.25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56">
        <v>108</v>
      </c>
      <c r="D38" s="12">
        <v>308</v>
      </c>
      <c r="E38" s="12"/>
      <c r="F38" s="52">
        <f t="shared" si="0"/>
        <v>416</v>
      </c>
      <c r="G38" s="12">
        <v>168</v>
      </c>
      <c r="H38" s="12">
        <v>82</v>
      </c>
      <c r="I38" s="12"/>
      <c r="J38" s="52">
        <f t="shared" si="1"/>
        <v>166</v>
      </c>
      <c r="K38" s="12"/>
    </row>
    <row r="39" spans="1:11" ht="17.25" customHeight="1">
      <c r="A39" s="7"/>
      <c r="B39" s="15"/>
      <c r="C39" s="9"/>
      <c r="D39" s="10"/>
      <c r="E39" s="10"/>
      <c r="F39" s="9"/>
      <c r="G39" s="10"/>
      <c r="H39" s="10"/>
      <c r="I39" s="10"/>
      <c r="J39" s="9"/>
      <c r="K39" s="10"/>
    </row>
    <row r="40" spans="1:11" ht="17.25" customHeight="1">
      <c r="A40" s="7"/>
      <c r="B40" s="12"/>
      <c r="C40" s="9"/>
      <c r="D40" s="10"/>
      <c r="E40" s="10"/>
      <c r="F40" s="9"/>
      <c r="G40" s="10"/>
      <c r="H40" s="10"/>
      <c r="I40" s="10"/>
      <c r="J40" s="9"/>
      <c r="K40" s="10"/>
    </row>
    <row r="41" spans="1:11" ht="17.25" customHeight="1">
      <c r="A41" s="45"/>
      <c r="B41" s="46"/>
      <c r="C41" s="27"/>
      <c r="D41" s="47"/>
      <c r="E41" s="47"/>
      <c r="F41" s="27"/>
      <c r="G41" s="47"/>
      <c r="H41" s="47"/>
      <c r="I41" s="47"/>
      <c r="J41" s="27"/>
      <c r="K41" s="47"/>
    </row>
    <row r="42" spans="1:11" ht="17.25" customHeight="1">
      <c r="A42" s="45"/>
      <c r="B42" s="46"/>
      <c r="C42" s="27"/>
      <c r="D42" s="47"/>
      <c r="E42" s="47"/>
      <c r="F42" s="27"/>
      <c r="G42" s="47"/>
      <c r="H42" s="47"/>
      <c r="I42" s="47"/>
      <c r="J42" s="27"/>
      <c r="K42" s="47"/>
    </row>
    <row r="43" spans="1:11" ht="15.75">
      <c r="A43" s="18" t="s">
        <v>60</v>
      </c>
      <c r="B43" s="18"/>
      <c r="C43" s="18"/>
      <c r="D43" s="18"/>
      <c r="E43" s="18"/>
      <c r="F43" s="18"/>
      <c r="G43" s="18"/>
      <c r="H43" s="19"/>
      <c r="I43" s="18"/>
      <c r="J43" s="18"/>
      <c r="K43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.15" top="0.5" bottom="0.5" header="0" footer="0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"/>
  <sheetViews>
    <sheetView topLeftCell="A13" zoomScaleNormal="100" workbookViewId="0">
      <selection activeCell="K14" sqref="K14"/>
    </sheetView>
  </sheetViews>
  <sheetFormatPr defaultRowHeight="15"/>
  <cols>
    <col min="1" max="1" width="17.85546875" customWidth="1"/>
    <col min="2" max="2" width="8.42578125" customWidth="1"/>
    <col min="3" max="3" width="9" customWidth="1"/>
    <col min="5" max="5" width="8.28515625" customWidth="1"/>
    <col min="6" max="6" width="8.7109375" customWidth="1"/>
    <col min="7" max="7" width="8" customWidth="1"/>
    <col min="8" max="8" width="8.28515625" customWidth="1"/>
    <col min="9" max="9" width="7.42578125" customWidth="1"/>
    <col min="10" max="10" width="8.5703125" customWidth="1"/>
    <col min="11" max="11" width="8.28515625" customWidth="1"/>
  </cols>
  <sheetData>
    <row r="1" spans="1:12" ht="27">
      <c r="A1" s="98" t="s">
        <v>14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2">
      <c r="A2" s="99" t="s">
        <v>15</v>
      </c>
      <c r="B2" s="99"/>
      <c r="C2" s="99"/>
      <c r="D2" s="99"/>
      <c r="E2" s="99"/>
      <c r="F2" s="99"/>
      <c r="G2" s="99"/>
      <c r="H2" s="99"/>
      <c r="I2" s="99"/>
      <c r="J2" s="99"/>
      <c r="K2" s="99"/>
    </row>
    <row r="3" spans="1:12" ht="18">
      <c r="A3" s="100" t="s">
        <v>16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</row>
    <row r="4" spans="1:12">
      <c r="A4" s="1" t="s">
        <v>79</v>
      </c>
      <c r="B4" s="1"/>
      <c r="C4" s="1"/>
      <c r="D4" s="1"/>
      <c r="E4" s="1"/>
      <c r="F4" s="1"/>
      <c r="G4" s="1"/>
      <c r="H4" s="2"/>
      <c r="J4" s="2"/>
      <c r="K4" s="3" t="s">
        <v>65</v>
      </c>
    </row>
    <row r="5" spans="1:12" ht="17.25" customHeight="1">
      <c r="A5" s="101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102" t="s">
        <v>26</v>
      </c>
    </row>
    <row r="6" spans="1:12" ht="17.25" customHeight="1">
      <c r="A6" s="101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103"/>
    </row>
    <row r="7" spans="1:12" ht="17.25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56">
        <v>1267</v>
      </c>
      <c r="D7" s="52"/>
      <c r="E7" s="52"/>
      <c r="F7" s="52">
        <f>C7+D7+E7</f>
        <v>1267</v>
      </c>
      <c r="G7" s="52">
        <v>510</v>
      </c>
      <c r="H7" s="52">
        <v>52</v>
      </c>
      <c r="I7" s="52"/>
      <c r="J7" s="52">
        <f>F7-G7-H7-I7</f>
        <v>705</v>
      </c>
      <c r="K7" s="52"/>
    </row>
    <row r="8" spans="1:12" ht="17.25" customHeight="1">
      <c r="A8" s="7" t="str">
        <f>'Company Stock '!A9</f>
        <v xml:space="preserve">Aqua Amla </v>
      </c>
      <c r="B8" s="8" t="str">
        <f>'Company Stock '!B9</f>
        <v>500gm</v>
      </c>
      <c r="C8" s="56">
        <v>361</v>
      </c>
      <c r="D8" s="12"/>
      <c r="E8" s="12"/>
      <c r="F8" s="52">
        <f t="shared" ref="F8:F38" si="0">C8+D8+E8</f>
        <v>361</v>
      </c>
      <c r="G8" s="12">
        <v>34</v>
      </c>
      <c r="H8" s="12">
        <v>93</v>
      </c>
      <c r="I8" s="12"/>
      <c r="J8" s="52">
        <f t="shared" ref="J8:J38" si="1">F8-G8-H8-I8</f>
        <v>234</v>
      </c>
      <c r="K8" s="12"/>
    </row>
    <row r="9" spans="1:12" ht="17.25" customHeight="1">
      <c r="A9" s="7" t="str">
        <f>'Company Stock '!A10</f>
        <v xml:space="preserve">Aqua Milk Premium </v>
      </c>
      <c r="B9" s="8" t="str">
        <f>'Company Stock '!B10</f>
        <v>500gm</v>
      </c>
      <c r="C9" s="56">
        <v>882</v>
      </c>
      <c r="D9" s="12"/>
      <c r="E9" s="12"/>
      <c r="F9" s="52">
        <f t="shared" si="0"/>
        <v>882</v>
      </c>
      <c r="G9" s="12"/>
      <c r="H9" s="12">
        <v>281</v>
      </c>
      <c r="I9" s="12"/>
      <c r="J9" s="52">
        <f t="shared" si="1"/>
        <v>601</v>
      </c>
      <c r="K9" s="12"/>
    </row>
    <row r="10" spans="1:12" ht="17.25" customHeight="1">
      <c r="A10" s="7" t="str">
        <f>'Company Stock '!A11</f>
        <v xml:space="preserve">Aqua Safe Plus </v>
      </c>
      <c r="B10" s="8" t="str">
        <f>'Company Stock '!B11</f>
        <v>5kg</v>
      </c>
      <c r="C10" s="56">
        <v>245</v>
      </c>
      <c r="D10" s="12">
        <v>14</v>
      </c>
      <c r="E10" s="12"/>
      <c r="F10" s="52">
        <f t="shared" si="0"/>
        <v>259</v>
      </c>
      <c r="G10" s="12">
        <v>13</v>
      </c>
      <c r="H10" s="12">
        <v>88</v>
      </c>
      <c r="I10" s="12"/>
      <c r="J10" s="52">
        <f t="shared" si="1"/>
        <v>158</v>
      </c>
      <c r="K10" s="12"/>
    </row>
    <row r="11" spans="1:12" ht="17.25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56">
        <v>874</v>
      </c>
      <c r="D11" s="12"/>
      <c r="E11" s="12"/>
      <c r="F11" s="52">
        <f t="shared" si="0"/>
        <v>874</v>
      </c>
      <c r="G11" s="12"/>
      <c r="H11" s="12">
        <v>68</v>
      </c>
      <c r="I11" s="12"/>
      <c r="J11" s="52">
        <f t="shared" si="1"/>
        <v>806</v>
      </c>
      <c r="K11" s="12"/>
    </row>
    <row r="12" spans="1:12" ht="17.25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56">
        <v>323</v>
      </c>
      <c r="D12" s="12"/>
      <c r="E12" s="12"/>
      <c r="F12" s="52">
        <f t="shared" si="0"/>
        <v>323</v>
      </c>
      <c r="G12" s="12"/>
      <c r="H12" s="12">
        <v>74</v>
      </c>
      <c r="I12" s="12"/>
      <c r="J12" s="52">
        <f t="shared" si="1"/>
        <v>249</v>
      </c>
      <c r="K12" s="12"/>
    </row>
    <row r="13" spans="1:12" ht="17.25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56">
        <v>668</v>
      </c>
      <c r="D13" s="12"/>
      <c r="E13" s="12"/>
      <c r="F13" s="52">
        <f t="shared" si="0"/>
        <v>668</v>
      </c>
      <c r="G13" s="12">
        <v>29</v>
      </c>
      <c r="H13" s="12">
        <v>171</v>
      </c>
      <c r="I13" s="12"/>
      <c r="J13" s="52">
        <f t="shared" si="1"/>
        <v>468</v>
      </c>
      <c r="K13" s="12"/>
    </row>
    <row r="14" spans="1:12" ht="17.25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56">
        <v>217</v>
      </c>
      <c r="D14" s="12"/>
      <c r="E14" s="12"/>
      <c r="F14" s="52">
        <f t="shared" si="0"/>
        <v>217</v>
      </c>
      <c r="G14" s="12">
        <v>16</v>
      </c>
      <c r="H14" s="12">
        <v>26</v>
      </c>
      <c r="I14" s="12"/>
      <c r="J14" s="52">
        <f t="shared" si="1"/>
        <v>175</v>
      </c>
      <c r="K14" s="12"/>
    </row>
    <row r="15" spans="1:12" ht="17.25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56">
        <v>389</v>
      </c>
      <c r="D15" s="12"/>
      <c r="E15" s="12"/>
      <c r="F15" s="52">
        <f t="shared" si="0"/>
        <v>389</v>
      </c>
      <c r="G15" s="12"/>
      <c r="H15" s="12">
        <v>21</v>
      </c>
      <c r="I15" s="12"/>
      <c r="J15" s="52">
        <f t="shared" si="1"/>
        <v>368</v>
      </c>
      <c r="K15" s="12"/>
    </row>
    <row r="16" spans="1:12" ht="17.25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53">
        <v>734</v>
      </c>
      <c r="D16" s="12">
        <v>220</v>
      </c>
      <c r="E16" s="12"/>
      <c r="F16" s="52">
        <f t="shared" si="0"/>
        <v>954</v>
      </c>
      <c r="G16" s="12">
        <v>22</v>
      </c>
      <c r="H16" s="12">
        <v>465</v>
      </c>
      <c r="I16" s="12"/>
      <c r="J16" s="52">
        <f t="shared" si="1"/>
        <v>467</v>
      </c>
      <c r="K16" s="12"/>
      <c r="L16" s="25"/>
    </row>
    <row r="17" spans="1:12" ht="17.25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53">
        <v>174</v>
      </c>
      <c r="D17" s="12">
        <v>600</v>
      </c>
      <c r="E17" s="12"/>
      <c r="F17" s="52">
        <f t="shared" si="0"/>
        <v>774</v>
      </c>
      <c r="G17" s="12"/>
      <c r="H17" s="12">
        <v>52</v>
      </c>
      <c r="I17" s="12"/>
      <c r="J17" s="52">
        <f t="shared" si="1"/>
        <v>722</v>
      </c>
      <c r="K17" s="12"/>
      <c r="L17" s="25"/>
    </row>
    <row r="18" spans="1:12" ht="17.25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53">
        <v>588</v>
      </c>
      <c r="D18" s="12">
        <v>288</v>
      </c>
      <c r="E18" s="12"/>
      <c r="F18" s="52">
        <f t="shared" si="0"/>
        <v>876</v>
      </c>
      <c r="G18" s="12">
        <v>33</v>
      </c>
      <c r="H18" s="12">
        <v>519</v>
      </c>
      <c r="I18" s="12"/>
      <c r="J18" s="52">
        <f t="shared" si="1"/>
        <v>324</v>
      </c>
      <c r="K18" s="12"/>
      <c r="L18" s="25"/>
    </row>
    <row r="19" spans="1:12" ht="17.25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53"/>
      <c r="D19" s="12"/>
      <c r="E19" s="12"/>
      <c r="F19" s="52"/>
      <c r="G19" s="12"/>
      <c r="H19" s="12"/>
      <c r="I19" s="12"/>
      <c r="J19" s="52">
        <f t="shared" si="1"/>
        <v>0</v>
      </c>
      <c r="K19" s="12"/>
      <c r="L19" s="25"/>
    </row>
    <row r="20" spans="1:12" ht="17.25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53"/>
      <c r="D20" s="12"/>
      <c r="E20" s="12"/>
      <c r="F20" s="52"/>
      <c r="G20" s="12"/>
      <c r="H20" s="12"/>
      <c r="I20" s="12"/>
      <c r="J20" s="52">
        <f t="shared" si="1"/>
        <v>0</v>
      </c>
      <c r="K20" s="12"/>
      <c r="L20" s="25"/>
    </row>
    <row r="21" spans="1:12" ht="17.25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53">
        <v>40</v>
      </c>
      <c r="D21" s="12">
        <v>24</v>
      </c>
      <c r="E21" s="12"/>
      <c r="F21" s="52">
        <f t="shared" si="0"/>
        <v>64</v>
      </c>
      <c r="G21" s="12">
        <v>10</v>
      </c>
      <c r="H21" s="12">
        <v>50</v>
      </c>
      <c r="I21" s="12"/>
      <c r="J21" s="52">
        <f t="shared" si="1"/>
        <v>4</v>
      </c>
      <c r="K21" s="12"/>
      <c r="L21" s="25"/>
    </row>
    <row r="22" spans="1:12" ht="17.25" customHeight="1">
      <c r="A22" s="7" t="str">
        <f>'Company Stock '!A23</f>
        <v>Green Vita</v>
      </c>
      <c r="B22" s="8" t="str">
        <f>'Company Stock '!B23</f>
        <v>500gm</v>
      </c>
      <c r="C22" s="53">
        <v>229</v>
      </c>
      <c r="D22" s="12">
        <v>240</v>
      </c>
      <c r="E22" s="12"/>
      <c r="F22" s="52">
        <f t="shared" si="0"/>
        <v>469</v>
      </c>
      <c r="G22" s="12">
        <v>55</v>
      </c>
      <c r="H22" s="12">
        <v>291</v>
      </c>
      <c r="I22" s="12"/>
      <c r="J22" s="52">
        <f t="shared" si="1"/>
        <v>123</v>
      </c>
      <c r="K22" s="12"/>
      <c r="L22" s="25"/>
    </row>
    <row r="23" spans="1:12" ht="17.25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53">
        <v>386</v>
      </c>
      <c r="D23" s="12"/>
      <c r="E23" s="12"/>
      <c r="F23" s="52">
        <f t="shared" si="0"/>
        <v>386</v>
      </c>
      <c r="G23" s="12"/>
      <c r="H23" s="12">
        <v>15</v>
      </c>
      <c r="I23" s="12"/>
      <c r="J23" s="52">
        <f t="shared" si="1"/>
        <v>371</v>
      </c>
      <c r="K23" s="12"/>
      <c r="L23" s="25"/>
    </row>
    <row r="24" spans="1:12" ht="17.25" customHeight="1">
      <c r="A24" s="7" t="str">
        <f>'Company Stock '!A25</f>
        <v>Oxy-win (Granular)</v>
      </c>
      <c r="B24" s="8" t="str">
        <f>'Company Stock '!B25</f>
        <v xml:space="preserve">1kg </v>
      </c>
      <c r="C24" s="53">
        <v>99</v>
      </c>
      <c r="D24" s="12">
        <v>50</v>
      </c>
      <c r="E24" s="12"/>
      <c r="F24" s="52">
        <f t="shared" si="0"/>
        <v>149</v>
      </c>
      <c r="G24" s="12">
        <v>30</v>
      </c>
      <c r="H24" s="12">
        <v>42</v>
      </c>
      <c r="I24" s="12"/>
      <c r="J24" s="52">
        <f t="shared" si="1"/>
        <v>77</v>
      </c>
      <c r="K24" s="12"/>
      <c r="L24" s="25"/>
    </row>
    <row r="25" spans="1:12" ht="17.25" customHeight="1">
      <c r="A25" s="7" t="str">
        <f>'Company Stock '!A26</f>
        <v>Oxy-win (Tablet)</v>
      </c>
      <c r="B25" s="8" t="str">
        <f>'Company Stock '!B26</f>
        <v xml:space="preserve">1kg </v>
      </c>
      <c r="C25" s="53">
        <v>249.5</v>
      </c>
      <c r="D25" s="12">
        <v>200</v>
      </c>
      <c r="E25" s="12"/>
      <c r="F25" s="52">
        <f t="shared" si="0"/>
        <v>449.5</v>
      </c>
      <c r="G25" s="12"/>
      <c r="H25" s="55">
        <v>54.5</v>
      </c>
      <c r="I25" s="12"/>
      <c r="J25" s="52">
        <f t="shared" si="1"/>
        <v>395</v>
      </c>
      <c r="K25" s="12"/>
      <c r="L25" s="25"/>
    </row>
    <row r="26" spans="1:12" ht="17.25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53">
        <v>164</v>
      </c>
      <c r="D26" s="12">
        <v>400</v>
      </c>
      <c r="E26" s="12">
        <v>5</v>
      </c>
      <c r="F26" s="52">
        <f t="shared" si="0"/>
        <v>569</v>
      </c>
      <c r="G26" s="12"/>
      <c r="H26" s="55">
        <v>35</v>
      </c>
      <c r="I26" s="12"/>
      <c r="J26" s="52">
        <f t="shared" si="1"/>
        <v>534</v>
      </c>
      <c r="K26" s="12"/>
      <c r="L26" s="25"/>
    </row>
    <row r="27" spans="1:12" ht="17.25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53">
        <v>304</v>
      </c>
      <c r="D27" s="12"/>
      <c r="E27" s="12"/>
      <c r="F27" s="52">
        <f t="shared" si="0"/>
        <v>304</v>
      </c>
      <c r="G27" s="12"/>
      <c r="H27" s="12"/>
      <c r="I27" s="12"/>
      <c r="J27" s="52">
        <f t="shared" si="1"/>
        <v>304</v>
      </c>
      <c r="K27" s="12"/>
      <c r="L27" s="25"/>
    </row>
    <row r="28" spans="1:12" ht="17.25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53">
        <v>289</v>
      </c>
      <c r="D28" s="12"/>
      <c r="E28" s="12"/>
      <c r="F28" s="52">
        <f t="shared" si="0"/>
        <v>289</v>
      </c>
      <c r="G28" s="12"/>
      <c r="H28" s="12">
        <v>30</v>
      </c>
      <c r="I28" s="12"/>
      <c r="J28" s="52">
        <f t="shared" si="1"/>
        <v>259</v>
      </c>
      <c r="K28" s="12"/>
      <c r="L28" s="25"/>
    </row>
    <row r="29" spans="1:12" ht="17.25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53">
        <v>721</v>
      </c>
      <c r="D29" s="12"/>
      <c r="E29" s="12"/>
      <c r="F29" s="52">
        <f t="shared" si="0"/>
        <v>721</v>
      </c>
      <c r="G29" s="12">
        <v>6</v>
      </c>
      <c r="H29" s="12">
        <v>87</v>
      </c>
      <c r="I29" s="12"/>
      <c r="J29" s="52">
        <f t="shared" si="1"/>
        <v>628</v>
      </c>
      <c r="K29" s="12"/>
      <c r="L29" s="25"/>
    </row>
    <row r="30" spans="1:12" ht="17.25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53"/>
      <c r="D30" s="55"/>
      <c r="E30" s="55"/>
      <c r="F30" s="52"/>
      <c r="G30" s="55"/>
      <c r="H30" s="55"/>
      <c r="I30" s="55"/>
      <c r="J30" s="52">
        <f t="shared" si="1"/>
        <v>0</v>
      </c>
      <c r="K30" s="55"/>
      <c r="L30" s="25"/>
    </row>
    <row r="31" spans="1:12" ht="17.25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53"/>
      <c r="D31" s="55"/>
      <c r="E31" s="55"/>
      <c r="F31" s="52"/>
      <c r="G31" s="55"/>
      <c r="H31" s="55"/>
      <c r="I31" s="55"/>
      <c r="J31" s="52">
        <f t="shared" si="1"/>
        <v>0</v>
      </c>
      <c r="K31" s="55"/>
      <c r="L31" s="25"/>
    </row>
    <row r="32" spans="1:12" ht="17.25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53">
        <v>145</v>
      </c>
      <c r="D32" s="12">
        <v>150</v>
      </c>
      <c r="E32" s="12"/>
      <c r="F32" s="52">
        <f t="shared" si="0"/>
        <v>295</v>
      </c>
      <c r="G32" s="12"/>
      <c r="H32" s="12">
        <v>40</v>
      </c>
      <c r="I32" s="12"/>
      <c r="J32" s="52">
        <f t="shared" si="1"/>
        <v>255</v>
      </c>
      <c r="K32" s="12"/>
      <c r="L32" s="25"/>
    </row>
    <row r="33" spans="1:12" ht="17.25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53">
        <v>891</v>
      </c>
      <c r="D33" s="12">
        <v>700</v>
      </c>
      <c r="E33" s="12"/>
      <c r="F33" s="52">
        <f t="shared" si="0"/>
        <v>1591</v>
      </c>
      <c r="G33" s="12"/>
      <c r="H33" s="12">
        <v>224</v>
      </c>
      <c r="I33" s="12"/>
      <c r="J33" s="52">
        <f t="shared" si="1"/>
        <v>1367</v>
      </c>
      <c r="K33" s="12"/>
      <c r="L33" s="25"/>
    </row>
    <row r="34" spans="1:12" ht="17.25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53">
        <v>396</v>
      </c>
      <c r="D34" s="12">
        <v>192</v>
      </c>
      <c r="E34" s="12"/>
      <c r="F34" s="52">
        <f t="shared" si="0"/>
        <v>588</v>
      </c>
      <c r="G34" s="12"/>
      <c r="H34" s="12">
        <v>14</v>
      </c>
      <c r="I34" s="12"/>
      <c r="J34" s="52">
        <f t="shared" si="1"/>
        <v>574</v>
      </c>
      <c r="K34" s="12"/>
      <c r="L34" s="25"/>
    </row>
    <row r="35" spans="1:12" ht="17.25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53">
        <v>595</v>
      </c>
      <c r="D35" s="12"/>
      <c r="E35" s="12"/>
      <c r="F35" s="52">
        <f t="shared" si="0"/>
        <v>595</v>
      </c>
      <c r="G35" s="12">
        <v>11</v>
      </c>
      <c r="H35" s="12">
        <v>15</v>
      </c>
      <c r="I35" s="12"/>
      <c r="J35" s="52">
        <f t="shared" si="1"/>
        <v>569</v>
      </c>
      <c r="K35" s="12"/>
      <c r="L35" s="25"/>
    </row>
    <row r="36" spans="1:12" ht="17.25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53">
        <v>576</v>
      </c>
      <c r="D36" s="12"/>
      <c r="E36" s="12"/>
      <c r="F36" s="52">
        <f t="shared" si="0"/>
        <v>576</v>
      </c>
      <c r="G36" s="12">
        <v>6</v>
      </c>
      <c r="H36" s="12">
        <v>10</v>
      </c>
      <c r="I36" s="12"/>
      <c r="J36" s="52">
        <f t="shared" si="1"/>
        <v>560</v>
      </c>
      <c r="K36" s="12"/>
      <c r="L36" s="25"/>
    </row>
    <row r="37" spans="1:12" ht="17.25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53">
        <v>496</v>
      </c>
      <c r="D37" s="12"/>
      <c r="E37" s="12"/>
      <c r="F37" s="52">
        <f t="shared" si="0"/>
        <v>496</v>
      </c>
      <c r="G37" s="12">
        <v>10</v>
      </c>
      <c r="H37" s="12">
        <v>56</v>
      </c>
      <c r="I37" s="12"/>
      <c r="J37" s="52">
        <f t="shared" si="1"/>
        <v>430</v>
      </c>
      <c r="K37" s="12"/>
      <c r="L37" s="25"/>
    </row>
    <row r="38" spans="1:12" ht="17.25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53">
        <v>177</v>
      </c>
      <c r="D38" s="12">
        <v>96</v>
      </c>
      <c r="E38" s="12"/>
      <c r="F38" s="52">
        <f t="shared" si="0"/>
        <v>273</v>
      </c>
      <c r="G38" s="12">
        <v>52</v>
      </c>
      <c r="H38" s="12">
        <v>26</v>
      </c>
      <c r="I38" s="12"/>
      <c r="J38" s="52">
        <f t="shared" si="1"/>
        <v>195</v>
      </c>
      <c r="K38" s="12"/>
      <c r="L38" s="25"/>
    </row>
    <row r="39" spans="1:12" ht="17.25" customHeight="1">
      <c r="A39" s="14"/>
      <c r="B39" s="15"/>
      <c r="C39" s="10"/>
      <c r="D39" s="10"/>
      <c r="E39" s="10"/>
      <c r="F39" s="10"/>
      <c r="G39" s="10"/>
      <c r="H39" s="10"/>
      <c r="I39" s="10"/>
      <c r="J39" s="10"/>
      <c r="K39" s="24"/>
    </row>
    <row r="40" spans="1:12" ht="17.25" customHeight="1">
      <c r="A40" s="14"/>
      <c r="B40" s="12"/>
      <c r="C40" s="10"/>
      <c r="D40" s="10"/>
      <c r="E40" s="10"/>
      <c r="F40" s="10"/>
      <c r="G40" s="10"/>
      <c r="H40" s="10"/>
      <c r="I40" s="10"/>
      <c r="J40" s="10"/>
      <c r="K40" s="24"/>
    </row>
    <row r="41" spans="1:12" ht="18">
      <c r="A41" s="16"/>
      <c r="B41" s="17"/>
      <c r="C41" s="26"/>
      <c r="D41" s="17"/>
      <c r="E41" s="17"/>
      <c r="F41" s="17"/>
      <c r="G41" s="17"/>
      <c r="H41" s="17"/>
      <c r="I41" s="17"/>
      <c r="J41" s="26"/>
      <c r="K41" s="17"/>
    </row>
    <row r="42" spans="1:12" ht="18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2" ht="18">
      <c r="A43" s="16"/>
      <c r="B43" s="17"/>
      <c r="C43" s="17"/>
      <c r="D43" s="17"/>
      <c r="E43" s="17"/>
      <c r="F43" s="17"/>
      <c r="G43" s="17"/>
      <c r="H43" s="26"/>
      <c r="I43" s="17"/>
      <c r="J43" s="17"/>
      <c r="K43" s="17"/>
    </row>
    <row r="44" spans="1:12" ht="18">
      <c r="A44" s="16"/>
      <c r="B44" s="17"/>
      <c r="C44" s="17"/>
      <c r="D44" s="17"/>
      <c r="E44" s="17"/>
      <c r="F44" s="17"/>
      <c r="G44" s="17"/>
      <c r="H44" s="17"/>
      <c r="I44" s="17"/>
      <c r="J44" s="26"/>
      <c r="K44" s="28"/>
    </row>
    <row r="45" spans="1:12" ht="15.75">
      <c r="A45" s="18" t="s">
        <v>60</v>
      </c>
      <c r="B45" s="18"/>
      <c r="C45" s="18"/>
      <c r="D45" s="18"/>
      <c r="E45" s="18"/>
      <c r="F45" s="18"/>
      <c r="G45" s="18"/>
      <c r="H45" s="19"/>
      <c r="I45" s="18"/>
      <c r="J45" s="18"/>
      <c r="K45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.12" top="0.5" bottom="0.5" header="0" footer="0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4"/>
  <sheetViews>
    <sheetView zoomScale="80" zoomScaleNormal="80" workbookViewId="0">
      <selection activeCell="I12" sqref="I12"/>
    </sheetView>
  </sheetViews>
  <sheetFormatPr defaultRowHeight="14.25"/>
  <cols>
    <col min="1" max="1" width="18.42578125" style="30" customWidth="1"/>
    <col min="2" max="2" width="8.85546875" style="30" customWidth="1"/>
    <col min="3" max="3" width="8" style="30" customWidth="1"/>
    <col min="4" max="4" width="9.140625" style="30"/>
    <col min="5" max="5" width="8.28515625" style="30" customWidth="1"/>
    <col min="6" max="6" width="8.42578125" style="30" customWidth="1"/>
    <col min="7" max="7" width="8.28515625" style="30" customWidth="1"/>
    <col min="8" max="8" width="7.85546875" style="30" customWidth="1"/>
    <col min="9" max="9" width="7.28515625" style="30" customWidth="1"/>
    <col min="10" max="10" width="9" style="30" customWidth="1"/>
    <col min="11" max="11" width="8.28515625" style="30" customWidth="1"/>
    <col min="12" max="12" width="10.42578125" style="30" bestFit="1" customWidth="1"/>
    <col min="13" max="16384" width="9.140625" style="30"/>
  </cols>
  <sheetData>
    <row r="1" spans="1:11" ht="27">
      <c r="A1" s="104" t="s">
        <v>14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1">
      <c r="A2" s="105" t="s">
        <v>15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</row>
    <row r="3" spans="1:11" ht="18">
      <c r="A3" s="106" t="s">
        <v>16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</row>
    <row r="4" spans="1:11" ht="15">
      <c r="A4" s="31" t="s">
        <v>78</v>
      </c>
      <c r="B4" s="31"/>
      <c r="C4" s="31"/>
      <c r="D4" s="31"/>
      <c r="E4" s="31"/>
      <c r="F4" s="31"/>
      <c r="G4" s="31"/>
      <c r="H4" s="32"/>
      <c r="J4" s="32"/>
      <c r="K4" s="33" t="s">
        <v>64</v>
      </c>
    </row>
    <row r="5" spans="1:11" ht="18" customHeight="1">
      <c r="A5" s="107" t="s">
        <v>17</v>
      </c>
      <c r="B5" s="34" t="s">
        <v>1</v>
      </c>
      <c r="C5" s="34" t="s">
        <v>18</v>
      </c>
      <c r="D5" s="34" t="s">
        <v>19</v>
      </c>
      <c r="E5" s="34" t="s">
        <v>20</v>
      </c>
      <c r="F5" s="34" t="s">
        <v>21</v>
      </c>
      <c r="G5" s="34" t="s">
        <v>22</v>
      </c>
      <c r="H5" s="34" t="s">
        <v>23</v>
      </c>
      <c r="I5" s="34" t="s">
        <v>24</v>
      </c>
      <c r="J5" s="34" t="s">
        <v>25</v>
      </c>
      <c r="K5" s="108" t="s">
        <v>26</v>
      </c>
    </row>
    <row r="6" spans="1:11" ht="18" customHeight="1">
      <c r="A6" s="107"/>
      <c r="B6" s="35" t="s">
        <v>7</v>
      </c>
      <c r="C6" s="35" t="s">
        <v>27</v>
      </c>
      <c r="D6" s="35" t="s">
        <v>28</v>
      </c>
      <c r="E6" s="35" t="s">
        <v>29</v>
      </c>
      <c r="F6" s="35" t="s">
        <v>29</v>
      </c>
      <c r="G6" s="35" t="s">
        <v>29</v>
      </c>
      <c r="H6" s="35" t="s">
        <v>29</v>
      </c>
      <c r="I6" s="36" t="s">
        <v>29</v>
      </c>
      <c r="J6" s="35" t="s">
        <v>30</v>
      </c>
      <c r="K6" s="109"/>
    </row>
    <row r="7" spans="1:11" ht="18" customHeight="1">
      <c r="A7" s="37" t="str">
        <f>'Company Stock '!A8</f>
        <v xml:space="preserve">Aqua Amla </v>
      </c>
      <c r="B7" s="38" t="str">
        <f>'Company Stock '!B8</f>
        <v xml:space="preserve">100gm </v>
      </c>
      <c r="C7" s="89"/>
      <c r="D7" s="90"/>
      <c r="E7" s="90"/>
      <c r="F7" s="90">
        <f>C7+D7+E7</f>
        <v>0</v>
      </c>
      <c r="G7" s="90"/>
      <c r="H7" s="90"/>
      <c r="I7" s="90"/>
      <c r="J7" s="90">
        <f>F7-G7-H7-I7</f>
        <v>0</v>
      </c>
      <c r="K7" s="90"/>
    </row>
    <row r="8" spans="1:11" ht="18" customHeight="1">
      <c r="A8" s="37" t="str">
        <f>'Company Stock '!A9</f>
        <v xml:space="preserve">Aqua Amla </v>
      </c>
      <c r="B8" s="38" t="str">
        <f>'Company Stock '!B9</f>
        <v>500gm</v>
      </c>
      <c r="C8" s="89">
        <v>80</v>
      </c>
      <c r="D8" s="89"/>
      <c r="E8" s="89"/>
      <c r="F8" s="90">
        <f t="shared" ref="F8:F39" si="0">C8+D8+E8</f>
        <v>80</v>
      </c>
      <c r="G8" s="89"/>
      <c r="H8" s="89">
        <v>10</v>
      </c>
      <c r="I8" s="89"/>
      <c r="J8" s="90">
        <f t="shared" ref="J8:J39" si="1">F8-G8-H8-I8</f>
        <v>70</v>
      </c>
      <c r="K8" s="89"/>
    </row>
    <row r="9" spans="1:11" ht="18" customHeight="1">
      <c r="A9" s="37" t="str">
        <f>'Company Stock '!A10</f>
        <v xml:space="preserve">Aqua Milk Premium </v>
      </c>
      <c r="B9" s="38" t="str">
        <f>'Company Stock '!B10</f>
        <v>500gm</v>
      </c>
      <c r="C9" s="89">
        <v>80</v>
      </c>
      <c r="D9" s="89"/>
      <c r="E9" s="89"/>
      <c r="F9" s="90">
        <f t="shared" si="0"/>
        <v>80</v>
      </c>
      <c r="G9" s="89"/>
      <c r="H9" s="89">
        <v>73</v>
      </c>
      <c r="I9" s="89">
        <v>3</v>
      </c>
      <c r="J9" s="90">
        <f t="shared" si="1"/>
        <v>4</v>
      </c>
      <c r="K9" s="89"/>
    </row>
    <row r="10" spans="1:11" ht="18" customHeight="1">
      <c r="A10" s="37" t="str">
        <f>'Company Stock '!A11</f>
        <v xml:space="preserve">Aqua Safe Plus </v>
      </c>
      <c r="B10" s="38" t="str">
        <f>'Company Stock '!B11</f>
        <v>5kg</v>
      </c>
      <c r="C10" s="89">
        <v>65</v>
      </c>
      <c r="D10" s="89"/>
      <c r="E10" s="89"/>
      <c r="F10" s="90">
        <f t="shared" si="0"/>
        <v>65</v>
      </c>
      <c r="G10" s="89"/>
      <c r="H10" s="89"/>
      <c r="I10" s="89"/>
      <c r="J10" s="90">
        <f t="shared" si="1"/>
        <v>65</v>
      </c>
      <c r="K10" s="89"/>
    </row>
    <row r="11" spans="1:11" ht="18" customHeight="1">
      <c r="A11" s="37" t="str">
        <f>'Company Stock '!A12</f>
        <v xml:space="preserve">Bencidal Plus </v>
      </c>
      <c r="B11" s="38" t="str">
        <f>'Company Stock '!B12</f>
        <v xml:space="preserve">100ml </v>
      </c>
      <c r="C11" s="89">
        <v>124</v>
      </c>
      <c r="D11" s="89"/>
      <c r="E11" s="89"/>
      <c r="F11" s="90">
        <f t="shared" si="0"/>
        <v>124</v>
      </c>
      <c r="G11" s="89"/>
      <c r="H11" s="89"/>
      <c r="I11" s="89"/>
      <c r="J11" s="90">
        <f t="shared" si="1"/>
        <v>124</v>
      </c>
      <c r="K11" s="89"/>
    </row>
    <row r="12" spans="1:11" ht="18" customHeight="1">
      <c r="A12" s="37" t="str">
        <f>'Company Stock '!A13</f>
        <v xml:space="preserve">Bencidal Plus </v>
      </c>
      <c r="B12" s="38" t="str">
        <f>'Company Stock '!B13</f>
        <v xml:space="preserve">500ml </v>
      </c>
      <c r="C12" s="89">
        <v>189</v>
      </c>
      <c r="D12" s="89"/>
      <c r="E12" s="89"/>
      <c r="F12" s="90">
        <f t="shared" si="0"/>
        <v>189</v>
      </c>
      <c r="G12" s="89"/>
      <c r="H12" s="89"/>
      <c r="I12" s="89"/>
      <c r="J12" s="90">
        <f t="shared" si="1"/>
        <v>189</v>
      </c>
      <c r="K12" s="89"/>
    </row>
    <row r="13" spans="1:11" ht="18" customHeight="1">
      <c r="A13" s="37" t="str">
        <f>'Company Stock '!A14</f>
        <v xml:space="preserve">Bottom Light </v>
      </c>
      <c r="B13" s="38" t="str">
        <f>'Company Stock '!B14</f>
        <v xml:space="preserve">100gm </v>
      </c>
      <c r="C13" s="89">
        <v>64</v>
      </c>
      <c r="D13" s="89"/>
      <c r="E13" s="89"/>
      <c r="F13" s="90">
        <f t="shared" si="0"/>
        <v>64</v>
      </c>
      <c r="G13" s="89"/>
      <c r="H13" s="89"/>
      <c r="I13" s="89"/>
      <c r="J13" s="90">
        <f t="shared" si="1"/>
        <v>64</v>
      </c>
      <c r="K13" s="89"/>
    </row>
    <row r="14" spans="1:11" ht="18" customHeight="1">
      <c r="A14" s="37" t="str">
        <f>'Company Stock '!A15</f>
        <v xml:space="preserve">Bottom Light </v>
      </c>
      <c r="B14" s="38" t="str">
        <f>'Company Stock '!B15</f>
        <v xml:space="preserve">500gm </v>
      </c>
      <c r="C14" s="89">
        <v>67</v>
      </c>
      <c r="D14" s="89"/>
      <c r="E14" s="89"/>
      <c r="F14" s="90">
        <f t="shared" si="0"/>
        <v>67</v>
      </c>
      <c r="G14" s="89"/>
      <c r="H14" s="89">
        <v>52</v>
      </c>
      <c r="I14" s="89">
        <v>2</v>
      </c>
      <c r="J14" s="90">
        <f t="shared" si="1"/>
        <v>13</v>
      </c>
      <c r="K14" s="89"/>
    </row>
    <row r="15" spans="1:11" ht="18" customHeight="1">
      <c r="A15" s="37" t="str">
        <f>'Company Stock '!A16</f>
        <v xml:space="preserve">Brood Plus </v>
      </c>
      <c r="B15" s="38" t="str">
        <f>'Company Stock '!B16</f>
        <v xml:space="preserve">500gm </v>
      </c>
      <c r="C15" s="89">
        <v>30</v>
      </c>
      <c r="D15" s="89"/>
      <c r="E15" s="89"/>
      <c r="F15" s="90">
        <f t="shared" si="0"/>
        <v>30</v>
      </c>
      <c r="G15" s="89"/>
      <c r="H15" s="89">
        <v>2</v>
      </c>
      <c r="I15" s="89"/>
      <c r="J15" s="90">
        <f t="shared" si="1"/>
        <v>28</v>
      </c>
      <c r="K15" s="89"/>
    </row>
    <row r="16" spans="1:11" ht="18" customHeight="1">
      <c r="A16" s="37" t="str">
        <f>'Company Stock '!A17</f>
        <v xml:space="preserve">Eco Fresh </v>
      </c>
      <c r="B16" s="38" t="str">
        <f>'Company Stock '!B17</f>
        <v xml:space="preserve">1kg </v>
      </c>
      <c r="C16" s="89">
        <v>19</v>
      </c>
      <c r="D16" s="89"/>
      <c r="E16" s="89"/>
      <c r="F16" s="90">
        <f t="shared" si="0"/>
        <v>19</v>
      </c>
      <c r="G16" s="89"/>
      <c r="H16" s="89"/>
      <c r="I16" s="89"/>
      <c r="J16" s="90">
        <f t="shared" si="1"/>
        <v>19</v>
      </c>
      <c r="K16" s="89"/>
    </row>
    <row r="17" spans="1:11" ht="18" customHeight="1">
      <c r="A17" s="37" t="str">
        <f>'Company Stock '!A18</f>
        <v xml:space="preserve">Eco Fresh Plus </v>
      </c>
      <c r="B17" s="38" t="str">
        <f>'Company Stock '!B18</f>
        <v xml:space="preserve">1kg </v>
      </c>
      <c r="C17" s="89">
        <v>111</v>
      </c>
      <c r="D17" s="89"/>
      <c r="E17" s="89"/>
      <c r="F17" s="90">
        <f t="shared" si="0"/>
        <v>111</v>
      </c>
      <c r="G17" s="89"/>
      <c r="H17" s="89"/>
      <c r="I17" s="89"/>
      <c r="J17" s="90">
        <f t="shared" si="1"/>
        <v>111</v>
      </c>
      <c r="K17" s="89"/>
    </row>
    <row r="18" spans="1:11" ht="18" customHeight="1">
      <c r="A18" s="37" t="str">
        <f>'Company Stock '!A19</f>
        <v xml:space="preserve">Energy Flow </v>
      </c>
      <c r="B18" s="38" t="str">
        <f>'Company Stock '!B19</f>
        <v xml:space="preserve">500gm </v>
      </c>
      <c r="C18" s="89">
        <v>184</v>
      </c>
      <c r="D18" s="89"/>
      <c r="E18" s="89"/>
      <c r="F18" s="90">
        <f t="shared" si="0"/>
        <v>184</v>
      </c>
      <c r="G18" s="89"/>
      <c r="H18" s="89">
        <v>128</v>
      </c>
      <c r="I18" s="89"/>
      <c r="J18" s="90">
        <f t="shared" si="1"/>
        <v>56</v>
      </c>
      <c r="K18" s="89"/>
    </row>
    <row r="19" spans="1:11" ht="18" customHeight="1">
      <c r="A19" s="37" t="str">
        <f>'Company Stock '!A20</f>
        <v xml:space="preserve">Enrosef </v>
      </c>
      <c r="B19" s="38" t="str">
        <f>'Company Stock '!B20</f>
        <v xml:space="preserve">100ml </v>
      </c>
      <c r="C19" s="89"/>
      <c r="D19" s="89"/>
      <c r="E19" s="89"/>
      <c r="F19" s="90">
        <f t="shared" si="0"/>
        <v>0</v>
      </c>
      <c r="G19" s="89"/>
      <c r="H19" s="89"/>
      <c r="I19" s="89"/>
      <c r="J19" s="90">
        <f t="shared" si="1"/>
        <v>0</v>
      </c>
      <c r="K19" s="89"/>
    </row>
    <row r="20" spans="1:11" ht="18" customHeight="1">
      <c r="A20" s="37" t="str">
        <f>'Company Stock '!A21</f>
        <v xml:space="preserve">Enrosef </v>
      </c>
      <c r="B20" s="38" t="str">
        <f>'Company Stock '!B21</f>
        <v xml:space="preserve">500ml </v>
      </c>
      <c r="C20" s="89"/>
      <c r="D20" s="89"/>
      <c r="E20" s="89"/>
      <c r="F20" s="90">
        <f t="shared" si="0"/>
        <v>0</v>
      </c>
      <c r="G20" s="89"/>
      <c r="H20" s="89"/>
      <c r="I20" s="89"/>
      <c r="J20" s="90">
        <f t="shared" si="1"/>
        <v>0</v>
      </c>
      <c r="K20" s="89"/>
    </row>
    <row r="21" spans="1:11" ht="18" customHeight="1">
      <c r="A21" s="37" t="str">
        <f>'Company Stock '!A22</f>
        <v xml:space="preserve">Erostep </v>
      </c>
      <c r="B21" s="38" t="str">
        <f>'Company Stock '!B22</f>
        <v xml:space="preserve">100gm </v>
      </c>
      <c r="C21" s="89">
        <v>39</v>
      </c>
      <c r="D21" s="89"/>
      <c r="E21" s="89"/>
      <c r="F21" s="90">
        <f t="shared" si="0"/>
        <v>39</v>
      </c>
      <c r="G21" s="89"/>
      <c r="H21" s="89"/>
      <c r="I21" s="89"/>
      <c r="J21" s="90">
        <f t="shared" si="1"/>
        <v>39</v>
      </c>
      <c r="K21" s="89"/>
    </row>
    <row r="22" spans="1:11" ht="18" customHeight="1">
      <c r="A22" s="37" t="str">
        <f>'Company Stock '!A23</f>
        <v>Green Vita</v>
      </c>
      <c r="B22" s="38" t="str">
        <f>'Company Stock '!B23</f>
        <v>500gm</v>
      </c>
      <c r="C22" s="89">
        <v>40</v>
      </c>
      <c r="D22" s="89"/>
      <c r="E22" s="89"/>
      <c r="F22" s="90">
        <f t="shared" si="0"/>
        <v>40</v>
      </c>
      <c r="G22" s="89"/>
      <c r="H22" s="89"/>
      <c r="I22" s="89"/>
      <c r="J22" s="90">
        <f t="shared" si="1"/>
        <v>40</v>
      </c>
      <c r="K22" s="89"/>
    </row>
    <row r="23" spans="1:11" ht="18" customHeight="1">
      <c r="A23" s="37" t="str">
        <f>'Company Stock '!A24</f>
        <v xml:space="preserve">Liver Win </v>
      </c>
      <c r="B23" s="38" t="str">
        <f>'Company Stock '!B24</f>
        <v xml:space="preserve">500ml </v>
      </c>
      <c r="C23" s="89">
        <v>101</v>
      </c>
      <c r="D23" s="89"/>
      <c r="E23" s="89"/>
      <c r="F23" s="90">
        <f t="shared" si="0"/>
        <v>101</v>
      </c>
      <c r="G23" s="89"/>
      <c r="H23" s="89"/>
      <c r="I23" s="89"/>
      <c r="J23" s="90">
        <f t="shared" si="1"/>
        <v>101</v>
      </c>
      <c r="K23" s="89"/>
    </row>
    <row r="24" spans="1:11" ht="18" customHeight="1">
      <c r="A24" s="37" t="str">
        <f>'Company Stock '!A25</f>
        <v>Oxy-win (Granular)</v>
      </c>
      <c r="B24" s="38" t="str">
        <f>'Company Stock '!B25</f>
        <v xml:space="preserve">1kg </v>
      </c>
      <c r="C24" s="89">
        <v>20</v>
      </c>
      <c r="D24" s="89">
        <v>30</v>
      </c>
      <c r="E24" s="89"/>
      <c r="F24" s="90">
        <f t="shared" si="0"/>
        <v>50</v>
      </c>
      <c r="G24" s="89"/>
      <c r="H24" s="89">
        <v>42</v>
      </c>
      <c r="I24" s="89"/>
      <c r="J24" s="90">
        <f t="shared" si="1"/>
        <v>8</v>
      </c>
      <c r="K24" s="89"/>
    </row>
    <row r="25" spans="1:11" ht="18" customHeight="1">
      <c r="A25" s="37" t="str">
        <f>'Company Stock '!A26</f>
        <v>Oxy-win (Tablet)</v>
      </c>
      <c r="B25" s="38" t="str">
        <f>'Company Stock '!B26</f>
        <v xml:space="preserve">1kg </v>
      </c>
      <c r="C25" s="89">
        <v>66.5</v>
      </c>
      <c r="D25" s="89"/>
      <c r="E25" s="89"/>
      <c r="F25" s="90">
        <f t="shared" si="0"/>
        <v>66.5</v>
      </c>
      <c r="G25" s="89"/>
      <c r="H25" s="89">
        <v>34</v>
      </c>
      <c r="I25" s="89"/>
      <c r="J25" s="90">
        <f t="shared" si="1"/>
        <v>32.5</v>
      </c>
      <c r="K25" s="89"/>
    </row>
    <row r="26" spans="1:11" ht="18" customHeight="1">
      <c r="A26" s="37" t="str">
        <f>'Company Stock '!A27</f>
        <v xml:space="preserve">Pro Yucca for Fish </v>
      </c>
      <c r="B26" s="38" t="str">
        <f>'Company Stock '!B27</f>
        <v xml:space="preserve">100ml </v>
      </c>
      <c r="C26" s="89">
        <v>134</v>
      </c>
      <c r="D26" s="89"/>
      <c r="E26" s="89"/>
      <c r="F26" s="90">
        <f t="shared" si="0"/>
        <v>134</v>
      </c>
      <c r="G26" s="89"/>
      <c r="H26" s="89"/>
      <c r="I26" s="89"/>
      <c r="J26" s="90">
        <f t="shared" si="1"/>
        <v>134</v>
      </c>
      <c r="K26" s="89"/>
    </row>
    <row r="27" spans="1:11" ht="18" customHeight="1">
      <c r="A27" s="37" t="str">
        <f>'Company Stock '!A28</f>
        <v xml:space="preserve">Pro Yucca for Fish </v>
      </c>
      <c r="B27" s="38" t="str">
        <f>'Company Stock '!B28</f>
        <v xml:space="preserve">500ml </v>
      </c>
      <c r="C27" s="89">
        <v>195</v>
      </c>
      <c r="D27" s="89"/>
      <c r="E27" s="89"/>
      <c r="F27" s="90">
        <f t="shared" si="0"/>
        <v>195</v>
      </c>
      <c r="G27" s="89"/>
      <c r="H27" s="89">
        <v>48</v>
      </c>
      <c r="I27" s="89">
        <v>3</v>
      </c>
      <c r="J27" s="90">
        <f t="shared" si="1"/>
        <v>144</v>
      </c>
      <c r="K27" s="89"/>
    </row>
    <row r="28" spans="1:11" ht="18" customHeight="1">
      <c r="A28" s="37" t="str">
        <f>'Company Stock '!A29</f>
        <v xml:space="preserve">Vitafort Aqua </v>
      </c>
      <c r="B28" s="38" t="str">
        <f>'Company Stock '!B29</f>
        <v xml:space="preserve">500gm </v>
      </c>
      <c r="C28" s="89">
        <v>13</v>
      </c>
      <c r="D28" s="89"/>
      <c r="E28" s="89"/>
      <c r="F28" s="90">
        <f t="shared" si="0"/>
        <v>13</v>
      </c>
      <c r="G28" s="89"/>
      <c r="H28" s="89"/>
      <c r="I28" s="89"/>
      <c r="J28" s="90">
        <f t="shared" si="1"/>
        <v>13</v>
      </c>
      <c r="K28" s="89"/>
    </row>
    <row r="29" spans="1:11" ht="18" customHeight="1">
      <c r="A29" s="37" t="str">
        <f>'Company Stock '!A30</f>
        <v xml:space="preserve">Vitazyme Aqua </v>
      </c>
      <c r="B29" s="38" t="str">
        <f>'Company Stock '!B30</f>
        <v xml:space="preserve">500gm </v>
      </c>
      <c r="C29" s="89">
        <v>47</v>
      </c>
      <c r="D29" s="89"/>
      <c r="E29" s="89"/>
      <c r="F29" s="90">
        <f t="shared" si="0"/>
        <v>47</v>
      </c>
      <c r="G29" s="89"/>
      <c r="H29" s="89"/>
      <c r="I29" s="89"/>
      <c r="J29" s="90">
        <f t="shared" si="1"/>
        <v>47</v>
      </c>
      <c r="K29" s="89"/>
    </row>
    <row r="30" spans="1:11" ht="18" customHeight="1">
      <c r="A30" s="37" t="str">
        <f>'Company Stock '!A31</f>
        <v xml:space="preserve">Win C </v>
      </c>
      <c r="B30" s="38" t="str">
        <f>'Company Stock '!B31</f>
        <v xml:space="preserve">100gm </v>
      </c>
      <c r="C30" s="89"/>
      <c r="D30" s="91"/>
      <c r="E30" s="91"/>
      <c r="F30" s="90">
        <f t="shared" si="0"/>
        <v>0</v>
      </c>
      <c r="G30" s="91"/>
      <c r="H30" s="91"/>
      <c r="I30" s="91"/>
      <c r="J30" s="90">
        <f t="shared" si="1"/>
        <v>0</v>
      </c>
      <c r="K30" s="91"/>
    </row>
    <row r="31" spans="1:11" ht="18" customHeight="1">
      <c r="A31" s="37" t="str">
        <f>'Company Stock '!A32</f>
        <v xml:space="preserve">Win C </v>
      </c>
      <c r="B31" s="38" t="str">
        <f>'Company Stock '!B32</f>
        <v xml:space="preserve">500gm </v>
      </c>
      <c r="C31" s="89"/>
      <c r="D31" s="91"/>
      <c r="E31" s="91"/>
      <c r="F31" s="90">
        <f t="shared" si="0"/>
        <v>0</v>
      </c>
      <c r="G31" s="91"/>
      <c r="H31" s="91"/>
      <c r="I31" s="91"/>
      <c r="J31" s="90">
        <f t="shared" si="1"/>
        <v>0</v>
      </c>
      <c r="K31" s="91"/>
    </row>
    <row r="32" spans="1:11" ht="18" customHeight="1">
      <c r="A32" s="37" t="str">
        <f>'Company Stock '!A33</f>
        <v xml:space="preserve">Win Health </v>
      </c>
      <c r="B32" s="38" t="str">
        <f>'Company Stock '!B33</f>
        <v xml:space="preserve">500ml </v>
      </c>
      <c r="C32" s="89">
        <v>32</v>
      </c>
      <c r="D32" s="89"/>
      <c r="E32" s="89"/>
      <c r="F32" s="90">
        <f t="shared" si="0"/>
        <v>32</v>
      </c>
      <c r="G32" s="89"/>
      <c r="H32" s="89">
        <v>17</v>
      </c>
      <c r="I32" s="89"/>
      <c r="J32" s="90">
        <f t="shared" si="1"/>
        <v>15</v>
      </c>
      <c r="K32" s="89"/>
    </row>
    <row r="33" spans="1:12" ht="18" customHeight="1">
      <c r="A33" s="37" t="str">
        <f>'Company Stock '!A34</f>
        <v xml:space="preserve">Win Max Plus </v>
      </c>
      <c r="B33" s="38" t="str">
        <f>'Company Stock '!B34</f>
        <v xml:space="preserve">50ml </v>
      </c>
      <c r="C33" s="89">
        <v>91</v>
      </c>
      <c r="D33" s="89"/>
      <c r="E33" s="89"/>
      <c r="F33" s="90">
        <f t="shared" si="0"/>
        <v>91</v>
      </c>
      <c r="G33" s="89"/>
      <c r="H33" s="89"/>
      <c r="I33" s="89"/>
      <c r="J33" s="90">
        <f t="shared" si="1"/>
        <v>91</v>
      </c>
      <c r="K33" s="89"/>
    </row>
    <row r="34" spans="1:12" ht="18" customHeight="1">
      <c r="A34" s="37" t="str">
        <f>'Company Stock '!A35</f>
        <v xml:space="preserve">Win Max Plus </v>
      </c>
      <c r="B34" s="38" t="str">
        <f>'Company Stock '!B35</f>
        <v xml:space="preserve">200ml </v>
      </c>
      <c r="C34" s="89">
        <v>116</v>
      </c>
      <c r="D34" s="89">
        <v>240</v>
      </c>
      <c r="E34" s="89"/>
      <c r="F34" s="90">
        <f t="shared" si="0"/>
        <v>356</v>
      </c>
      <c r="G34" s="89"/>
      <c r="H34" s="89"/>
      <c r="I34" s="89"/>
      <c r="J34" s="90">
        <f t="shared" si="1"/>
        <v>356</v>
      </c>
      <c r="K34" s="89"/>
    </row>
    <row r="35" spans="1:12" ht="18" customHeight="1">
      <c r="A35" s="37" t="str">
        <f>'Company Stock '!A36</f>
        <v xml:space="preserve">Win Pro Aqua </v>
      </c>
      <c r="B35" s="38" t="str">
        <f>'Company Stock '!B36</f>
        <v xml:space="preserve">100gm </v>
      </c>
      <c r="C35" s="89">
        <v>144</v>
      </c>
      <c r="D35" s="89"/>
      <c r="E35" s="89"/>
      <c r="F35" s="90">
        <f t="shared" si="0"/>
        <v>144</v>
      </c>
      <c r="G35" s="89"/>
      <c r="H35" s="89"/>
      <c r="I35" s="89"/>
      <c r="J35" s="90">
        <f t="shared" si="1"/>
        <v>144</v>
      </c>
      <c r="K35" s="89"/>
    </row>
    <row r="36" spans="1:12" ht="18" customHeight="1">
      <c r="A36" s="37" t="str">
        <f>'Company Stock '!A37</f>
        <v xml:space="preserve">Win Pro Aqua </v>
      </c>
      <c r="B36" s="38" t="str">
        <f>'Company Stock '!B37</f>
        <v xml:space="preserve">200gm </v>
      </c>
      <c r="C36" s="89">
        <v>249</v>
      </c>
      <c r="D36" s="89"/>
      <c r="E36" s="89"/>
      <c r="F36" s="90">
        <f t="shared" si="0"/>
        <v>249</v>
      </c>
      <c r="G36" s="89"/>
      <c r="H36" s="89">
        <v>90</v>
      </c>
      <c r="I36" s="89"/>
      <c r="J36" s="90">
        <f t="shared" si="1"/>
        <v>159</v>
      </c>
      <c r="K36" s="89"/>
    </row>
    <row r="37" spans="1:12" ht="18" customHeight="1">
      <c r="A37" s="37" t="str">
        <f>'Company Stock '!A38</f>
        <v xml:space="preserve">Winxide Aqua </v>
      </c>
      <c r="B37" s="38" t="str">
        <f>'Company Stock '!B38</f>
        <v xml:space="preserve">100ml </v>
      </c>
      <c r="C37" s="89"/>
      <c r="D37" s="89"/>
      <c r="E37" s="89"/>
      <c r="F37" s="90">
        <f t="shared" si="0"/>
        <v>0</v>
      </c>
      <c r="G37" s="89"/>
      <c r="H37" s="89"/>
      <c r="I37" s="89"/>
      <c r="J37" s="90">
        <f t="shared" si="1"/>
        <v>0</v>
      </c>
      <c r="K37" s="89"/>
    </row>
    <row r="38" spans="1:12" ht="18" customHeight="1">
      <c r="A38" s="37" t="str">
        <f>'Company Stock '!A39</f>
        <v xml:space="preserve">Winxide Aqua </v>
      </c>
      <c r="B38" s="38" t="str">
        <f>'Company Stock '!B39</f>
        <v xml:space="preserve">500ml </v>
      </c>
      <c r="C38" s="89">
        <v>47</v>
      </c>
      <c r="D38" s="89">
        <v>72</v>
      </c>
      <c r="E38" s="89"/>
      <c r="F38" s="90">
        <f t="shared" si="0"/>
        <v>119</v>
      </c>
      <c r="G38" s="89"/>
      <c r="H38" s="89"/>
      <c r="I38" s="89"/>
      <c r="J38" s="90">
        <f t="shared" si="1"/>
        <v>119</v>
      </c>
      <c r="K38" s="89"/>
    </row>
    <row r="39" spans="1:12" ht="18" customHeight="1">
      <c r="A39" s="37" t="s">
        <v>75</v>
      </c>
      <c r="B39" s="38" t="s">
        <v>39</v>
      </c>
      <c r="C39" s="89">
        <v>60</v>
      </c>
      <c r="D39" s="92"/>
      <c r="E39" s="92"/>
      <c r="F39" s="90">
        <f t="shared" si="0"/>
        <v>60</v>
      </c>
      <c r="G39" s="92"/>
      <c r="H39" s="89"/>
      <c r="I39" s="92"/>
      <c r="J39" s="90">
        <f t="shared" si="1"/>
        <v>60</v>
      </c>
      <c r="K39" s="92"/>
    </row>
    <row r="40" spans="1:12" ht="18" customHeight="1">
      <c r="A40" s="37"/>
      <c r="B40" s="38"/>
      <c r="C40" s="49"/>
      <c r="D40" s="92"/>
      <c r="E40" s="92"/>
      <c r="F40" s="90"/>
      <c r="G40" s="92"/>
      <c r="H40" s="92"/>
      <c r="I40" s="92"/>
      <c r="J40" s="90"/>
      <c r="K40" s="92"/>
    </row>
    <row r="41" spans="1:12" ht="18" customHeight="1">
      <c r="A41" s="50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48"/>
    </row>
    <row r="42" spans="1:12" ht="18" customHeight="1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</row>
    <row r="43" spans="1:12" ht="18" customHeight="1">
      <c r="A43" s="39"/>
      <c r="B43" s="40"/>
      <c r="C43" s="40"/>
      <c r="D43" s="40"/>
      <c r="E43" s="40"/>
      <c r="F43" s="40"/>
      <c r="G43" s="40"/>
      <c r="H43" s="40"/>
      <c r="I43" s="40"/>
      <c r="J43" s="40"/>
      <c r="K43" s="40"/>
    </row>
    <row r="44" spans="1:12" ht="18" customHeight="1">
      <c r="A44" s="41" t="s">
        <v>60</v>
      </c>
      <c r="B44" s="41"/>
      <c r="C44" s="41"/>
      <c r="D44" s="41"/>
      <c r="E44" s="41"/>
      <c r="F44" s="41"/>
      <c r="G44" s="41"/>
      <c r="H44" s="42"/>
      <c r="I44" s="41"/>
      <c r="J44" s="41"/>
      <c r="K44" s="33" t="s">
        <v>61</v>
      </c>
    </row>
  </sheetData>
  <mergeCells count="5">
    <mergeCell ref="A1:K1"/>
    <mergeCell ref="A2:K2"/>
    <mergeCell ref="A3:K3"/>
    <mergeCell ref="A5:A6"/>
    <mergeCell ref="K5:K6"/>
  </mergeCells>
  <pageMargins left="0.15" right="0" top="0.5" bottom="0.5" header="0" footer="0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4"/>
  <sheetViews>
    <sheetView topLeftCell="A28" zoomScale="115" zoomScaleNormal="115" workbookViewId="0">
      <selection activeCell="C33" sqref="C33"/>
    </sheetView>
  </sheetViews>
  <sheetFormatPr defaultRowHeight="14.25"/>
  <cols>
    <col min="1" max="1" width="18.42578125" style="29" customWidth="1"/>
    <col min="2" max="2" width="7.5703125" style="29" customWidth="1"/>
    <col min="3" max="4" width="9.140625" style="29"/>
    <col min="5" max="5" width="7.7109375" style="29" customWidth="1"/>
    <col min="6" max="7" width="8.140625" style="29" customWidth="1"/>
    <col min="8" max="8" width="8.28515625" style="29" customWidth="1"/>
    <col min="9" max="9" width="7.7109375" style="29" customWidth="1"/>
    <col min="10" max="10" width="8.5703125" style="29" customWidth="1"/>
    <col min="11" max="11" width="9.140625" style="29" customWidth="1"/>
    <col min="12" max="16384" width="9.140625" style="29"/>
  </cols>
  <sheetData>
    <row r="1" spans="1:11" ht="27">
      <c r="A1" s="98" t="s">
        <v>14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>
      <c r="A2" s="99" t="s">
        <v>15</v>
      </c>
      <c r="B2" s="99"/>
      <c r="C2" s="99"/>
      <c r="D2" s="99"/>
      <c r="E2" s="99"/>
      <c r="F2" s="99"/>
      <c r="G2" s="99"/>
      <c r="H2" s="99"/>
      <c r="I2" s="99"/>
      <c r="J2" s="99"/>
      <c r="K2" s="99"/>
    </row>
    <row r="3" spans="1:11" ht="18">
      <c r="A3" s="100" t="s">
        <v>16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</row>
    <row r="4" spans="1:11" ht="15">
      <c r="A4" s="1" t="s">
        <v>78</v>
      </c>
      <c r="B4" s="1"/>
      <c r="C4" s="1"/>
      <c r="D4" s="1"/>
      <c r="E4" s="1"/>
      <c r="F4" s="1"/>
      <c r="G4" s="1"/>
      <c r="H4" s="2"/>
      <c r="J4" s="2"/>
      <c r="K4" s="3" t="s">
        <v>76</v>
      </c>
    </row>
    <row r="5" spans="1:11" ht="18" customHeight="1">
      <c r="A5" s="101" t="s">
        <v>17</v>
      </c>
      <c r="B5" s="4" t="s">
        <v>72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102" t="s">
        <v>26</v>
      </c>
    </row>
    <row r="6" spans="1:11" ht="18" customHeight="1">
      <c r="A6" s="101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103"/>
    </row>
    <row r="7" spans="1:11" ht="18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82">
        <v>249</v>
      </c>
      <c r="D7" s="52"/>
      <c r="E7" s="52">
        <v>8</v>
      </c>
      <c r="F7" s="52">
        <f>C7+D7+E7</f>
        <v>257</v>
      </c>
      <c r="G7" s="52">
        <v>113</v>
      </c>
      <c r="H7" s="52">
        <v>1</v>
      </c>
      <c r="I7" s="52"/>
      <c r="J7" s="52">
        <f>F7-G7-H7-I7</f>
        <v>143</v>
      </c>
      <c r="K7" s="52"/>
    </row>
    <row r="8" spans="1:11" ht="18" customHeight="1">
      <c r="A8" s="7" t="str">
        <f>'Company Stock '!A9</f>
        <v xml:space="preserve">Aqua Amla </v>
      </c>
      <c r="B8" s="8" t="str">
        <f>'Company Stock '!B9</f>
        <v>500gm</v>
      </c>
      <c r="C8" s="82">
        <v>38</v>
      </c>
      <c r="D8" s="12"/>
      <c r="E8" s="12"/>
      <c r="F8" s="52">
        <f t="shared" ref="F8:F38" si="0">C8+D8+E8</f>
        <v>38</v>
      </c>
      <c r="G8" s="12">
        <v>1</v>
      </c>
      <c r="H8" s="12"/>
      <c r="I8" s="12"/>
      <c r="J8" s="52">
        <f t="shared" ref="J8:J38" si="1">F8-G8-H8-I8</f>
        <v>37</v>
      </c>
      <c r="K8" s="12"/>
    </row>
    <row r="9" spans="1:11" ht="18" customHeight="1">
      <c r="A9" s="7" t="str">
        <f>'Company Stock '!A10</f>
        <v xml:space="preserve">Aqua Milk Premium </v>
      </c>
      <c r="B9" s="8" t="str">
        <f>'Company Stock '!B10</f>
        <v>500gm</v>
      </c>
      <c r="C9" s="82">
        <v>100</v>
      </c>
      <c r="D9" s="12">
        <v>700</v>
      </c>
      <c r="E9" s="12"/>
      <c r="F9" s="52">
        <f t="shared" si="0"/>
        <v>800</v>
      </c>
      <c r="G9" s="12"/>
      <c r="H9" s="12">
        <v>348</v>
      </c>
      <c r="I9" s="12">
        <v>10</v>
      </c>
      <c r="J9" s="52">
        <f t="shared" si="1"/>
        <v>442</v>
      </c>
      <c r="K9" s="12"/>
    </row>
    <row r="10" spans="1:11" ht="18" customHeight="1">
      <c r="A10" s="7" t="str">
        <f>'Company Stock '!A11</f>
        <v xml:space="preserve">Aqua Safe Plus </v>
      </c>
      <c r="B10" s="20" t="str">
        <f>'Company Stock '!B11</f>
        <v>5kg</v>
      </c>
      <c r="C10" s="82">
        <v>7</v>
      </c>
      <c r="D10" s="12">
        <v>24</v>
      </c>
      <c r="E10" s="12">
        <v>16</v>
      </c>
      <c r="F10" s="52">
        <f t="shared" si="0"/>
        <v>47</v>
      </c>
      <c r="G10" s="12">
        <v>1</v>
      </c>
      <c r="H10" s="12">
        <v>22</v>
      </c>
      <c r="I10" s="12">
        <v>1</v>
      </c>
      <c r="J10" s="52">
        <f t="shared" si="1"/>
        <v>23</v>
      </c>
      <c r="K10" s="12"/>
    </row>
    <row r="11" spans="1:11" ht="18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82">
        <v>82</v>
      </c>
      <c r="D11" s="12"/>
      <c r="E11" s="12"/>
      <c r="F11" s="52">
        <f t="shared" si="0"/>
        <v>82</v>
      </c>
      <c r="G11" s="12"/>
      <c r="H11" s="12">
        <v>1</v>
      </c>
      <c r="I11" s="12"/>
      <c r="J11" s="52">
        <f t="shared" si="1"/>
        <v>81</v>
      </c>
      <c r="K11" s="12"/>
    </row>
    <row r="12" spans="1:11" ht="18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82">
        <v>28</v>
      </c>
      <c r="D12" s="12"/>
      <c r="E12" s="12"/>
      <c r="F12" s="52">
        <f t="shared" si="0"/>
        <v>28</v>
      </c>
      <c r="G12" s="12">
        <v>7</v>
      </c>
      <c r="H12" s="12">
        <v>1</v>
      </c>
      <c r="I12" s="12"/>
      <c r="J12" s="52">
        <f t="shared" si="1"/>
        <v>20</v>
      </c>
      <c r="K12" s="12"/>
    </row>
    <row r="13" spans="1:11" ht="18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82">
        <v>168</v>
      </c>
      <c r="D13" s="12"/>
      <c r="E13" s="12">
        <v>16</v>
      </c>
      <c r="F13" s="52">
        <f t="shared" si="0"/>
        <v>184</v>
      </c>
      <c r="G13" s="12">
        <v>76</v>
      </c>
      <c r="H13" s="12">
        <v>28</v>
      </c>
      <c r="I13" s="12">
        <v>1</v>
      </c>
      <c r="J13" s="52">
        <f t="shared" si="1"/>
        <v>79</v>
      </c>
      <c r="K13" s="12"/>
    </row>
    <row r="14" spans="1:11" ht="18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82">
        <v>26</v>
      </c>
      <c r="D14" s="12"/>
      <c r="E14" s="12">
        <v>3</v>
      </c>
      <c r="F14" s="52">
        <f t="shared" si="0"/>
        <v>29</v>
      </c>
      <c r="G14" s="12">
        <v>3</v>
      </c>
      <c r="H14" s="12"/>
      <c r="I14" s="12"/>
      <c r="J14" s="52">
        <f t="shared" si="1"/>
        <v>26</v>
      </c>
      <c r="K14" s="12"/>
    </row>
    <row r="15" spans="1:11" ht="18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82">
        <v>34</v>
      </c>
      <c r="D15" s="12"/>
      <c r="E15" s="12"/>
      <c r="F15" s="52">
        <f t="shared" si="0"/>
        <v>34</v>
      </c>
      <c r="G15" s="12"/>
      <c r="H15" s="12"/>
      <c r="I15" s="12"/>
      <c r="J15" s="52">
        <f t="shared" si="1"/>
        <v>34</v>
      </c>
      <c r="K15" s="12"/>
    </row>
    <row r="16" spans="1:11" ht="18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82">
        <v>97</v>
      </c>
      <c r="D16" s="12">
        <v>110</v>
      </c>
      <c r="E16" s="12"/>
      <c r="F16" s="52">
        <f t="shared" si="0"/>
        <v>207</v>
      </c>
      <c r="G16" s="12">
        <v>13</v>
      </c>
      <c r="H16" s="12">
        <v>111</v>
      </c>
      <c r="I16" s="12">
        <v>10</v>
      </c>
      <c r="J16" s="52">
        <f t="shared" si="1"/>
        <v>73</v>
      </c>
      <c r="K16" s="12"/>
    </row>
    <row r="17" spans="1:11" ht="18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82">
        <v>148</v>
      </c>
      <c r="D17" s="12"/>
      <c r="E17" s="12"/>
      <c r="F17" s="52">
        <f t="shared" si="0"/>
        <v>148</v>
      </c>
      <c r="G17" s="12"/>
      <c r="H17" s="12"/>
      <c r="I17" s="12"/>
      <c r="J17" s="52">
        <f t="shared" si="1"/>
        <v>148</v>
      </c>
      <c r="K17" s="12"/>
    </row>
    <row r="18" spans="1:11" ht="18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82">
        <v>102</v>
      </c>
      <c r="D18" s="12"/>
      <c r="E18" s="12"/>
      <c r="F18" s="52">
        <f t="shared" si="0"/>
        <v>102</v>
      </c>
      <c r="G18" s="12"/>
      <c r="H18" s="12">
        <v>54</v>
      </c>
      <c r="I18" s="12"/>
      <c r="J18" s="52">
        <f t="shared" si="1"/>
        <v>48</v>
      </c>
      <c r="K18" s="12"/>
    </row>
    <row r="19" spans="1:11" ht="18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82">
        <v>9</v>
      </c>
      <c r="D19" s="12"/>
      <c r="E19" s="12"/>
      <c r="F19" s="52">
        <f t="shared" si="0"/>
        <v>9</v>
      </c>
      <c r="G19" s="12">
        <v>9</v>
      </c>
      <c r="H19" s="12"/>
      <c r="I19" s="12"/>
      <c r="J19" s="52">
        <f t="shared" si="1"/>
        <v>0</v>
      </c>
      <c r="K19" s="12"/>
    </row>
    <row r="20" spans="1:11" ht="18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82"/>
      <c r="D20" s="12"/>
      <c r="E20" s="12"/>
      <c r="F20" s="52"/>
      <c r="G20" s="12"/>
      <c r="H20" s="12"/>
      <c r="I20" s="12"/>
      <c r="J20" s="52">
        <f t="shared" si="1"/>
        <v>0</v>
      </c>
      <c r="K20" s="12"/>
    </row>
    <row r="21" spans="1:11" ht="18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82"/>
      <c r="D21" s="12"/>
      <c r="E21" s="12"/>
      <c r="F21" s="52"/>
      <c r="G21" s="12"/>
      <c r="H21" s="12"/>
      <c r="I21" s="12"/>
      <c r="J21" s="52">
        <f t="shared" si="1"/>
        <v>0</v>
      </c>
      <c r="K21" s="12"/>
    </row>
    <row r="22" spans="1:11" ht="18" customHeight="1">
      <c r="A22" s="7" t="str">
        <f>'Company Stock '!A23</f>
        <v>Green Vita</v>
      </c>
      <c r="B22" s="8" t="str">
        <f>'Company Stock '!B23</f>
        <v>500gm</v>
      </c>
      <c r="C22" s="82">
        <v>56</v>
      </c>
      <c r="D22" s="12">
        <v>60</v>
      </c>
      <c r="E22" s="12"/>
      <c r="F22" s="52">
        <f t="shared" si="0"/>
        <v>116</v>
      </c>
      <c r="G22" s="12"/>
      <c r="H22" s="12">
        <v>22</v>
      </c>
      <c r="I22" s="12">
        <v>1</v>
      </c>
      <c r="J22" s="52">
        <f t="shared" si="1"/>
        <v>93</v>
      </c>
      <c r="K22" s="12"/>
    </row>
    <row r="23" spans="1:11" ht="18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82"/>
      <c r="D23" s="12"/>
      <c r="E23" s="12"/>
      <c r="F23" s="52">
        <f t="shared" si="0"/>
        <v>0</v>
      </c>
      <c r="G23" s="12"/>
      <c r="H23" s="12"/>
      <c r="I23" s="12"/>
      <c r="J23" s="52">
        <f t="shared" si="1"/>
        <v>0</v>
      </c>
      <c r="K23" s="12"/>
    </row>
    <row r="24" spans="1:11" ht="18" customHeight="1">
      <c r="A24" s="7" t="str">
        <f>'Company Stock '!A25</f>
        <v>Oxy-win (Granular)</v>
      </c>
      <c r="B24" s="8" t="str">
        <f>'Company Stock '!B25</f>
        <v xml:space="preserve">1kg </v>
      </c>
      <c r="C24" s="82">
        <v>14</v>
      </c>
      <c r="D24" s="12"/>
      <c r="E24" s="12"/>
      <c r="F24" s="52">
        <f t="shared" si="0"/>
        <v>14</v>
      </c>
      <c r="G24" s="12"/>
      <c r="H24" s="12">
        <v>1</v>
      </c>
      <c r="I24" s="12"/>
      <c r="J24" s="52">
        <f t="shared" si="1"/>
        <v>13</v>
      </c>
      <c r="K24" s="12"/>
    </row>
    <row r="25" spans="1:11" ht="18" customHeight="1">
      <c r="A25" s="7" t="str">
        <f>'Company Stock '!A26</f>
        <v>Oxy-win (Tablet)</v>
      </c>
      <c r="B25" s="8" t="str">
        <f>'Company Stock '!B26</f>
        <v xml:space="preserve">1kg </v>
      </c>
      <c r="C25" s="82">
        <v>14</v>
      </c>
      <c r="D25" s="12"/>
      <c r="E25" s="12"/>
      <c r="F25" s="52">
        <f t="shared" si="0"/>
        <v>14</v>
      </c>
      <c r="G25" s="12"/>
      <c r="H25" s="12"/>
      <c r="I25" s="12"/>
      <c r="J25" s="52">
        <f t="shared" si="1"/>
        <v>14</v>
      </c>
      <c r="K25" s="12"/>
    </row>
    <row r="26" spans="1:11" ht="18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82">
        <v>82</v>
      </c>
      <c r="D26" s="12"/>
      <c r="E26" s="12"/>
      <c r="F26" s="52">
        <f t="shared" si="0"/>
        <v>82</v>
      </c>
      <c r="G26" s="12"/>
      <c r="H26" s="12"/>
      <c r="I26" s="12"/>
      <c r="J26" s="52">
        <f t="shared" si="1"/>
        <v>82</v>
      </c>
      <c r="K26" s="12"/>
    </row>
    <row r="27" spans="1:11" ht="18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82">
        <v>37</v>
      </c>
      <c r="D27" s="12"/>
      <c r="E27" s="12"/>
      <c r="F27" s="52">
        <f t="shared" si="0"/>
        <v>37</v>
      </c>
      <c r="G27" s="12"/>
      <c r="H27" s="12"/>
      <c r="I27" s="12"/>
      <c r="J27" s="52">
        <f t="shared" si="1"/>
        <v>37</v>
      </c>
      <c r="K27" s="12"/>
    </row>
    <row r="28" spans="1:11" ht="18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82">
        <v>60</v>
      </c>
      <c r="D28" s="12"/>
      <c r="E28" s="12"/>
      <c r="F28" s="52">
        <f t="shared" si="0"/>
        <v>60</v>
      </c>
      <c r="G28" s="12"/>
      <c r="H28" s="12"/>
      <c r="I28" s="12"/>
      <c r="J28" s="52">
        <f t="shared" si="1"/>
        <v>60</v>
      </c>
      <c r="K28" s="12"/>
    </row>
    <row r="29" spans="1:11" ht="18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82">
        <v>47</v>
      </c>
      <c r="D29" s="12">
        <v>54</v>
      </c>
      <c r="E29" s="12"/>
      <c r="F29" s="52">
        <f t="shared" si="0"/>
        <v>101</v>
      </c>
      <c r="G29" s="12"/>
      <c r="H29" s="12">
        <v>69</v>
      </c>
      <c r="I29" s="12">
        <v>3</v>
      </c>
      <c r="J29" s="52">
        <f t="shared" si="1"/>
        <v>29</v>
      </c>
      <c r="K29" s="12"/>
    </row>
    <row r="30" spans="1:11" ht="18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82"/>
      <c r="D30" s="55"/>
      <c r="E30" s="55"/>
      <c r="F30" s="52">
        <f t="shared" si="0"/>
        <v>0</v>
      </c>
      <c r="G30" s="55"/>
      <c r="H30" s="55"/>
      <c r="I30" s="55"/>
      <c r="J30" s="52">
        <f t="shared" si="1"/>
        <v>0</v>
      </c>
      <c r="K30" s="55"/>
    </row>
    <row r="31" spans="1:11" ht="18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82"/>
      <c r="D31" s="55"/>
      <c r="E31" s="55"/>
      <c r="F31" s="52">
        <f t="shared" si="0"/>
        <v>0</v>
      </c>
      <c r="G31" s="55"/>
      <c r="H31" s="55"/>
      <c r="I31" s="55"/>
      <c r="J31" s="52">
        <f t="shared" si="1"/>
        <v>0</v>
      </c>
      <c r="K31" s="55"/>
    </row>
    <row r="32" spans="1:11" ht="18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82">
        <v>21</v>
      </c>
      <c r="D32" s="12">
        <v>45</v>
      </c>
      <c r="E32" s="12"/>
      <c r="F32" s="52">
        <f t="shared" si="0"/>
        <v>66</v>
      </c>
      <c r="G32" s="12">
        <v>2</v>
      </c>
      <c r="H32" s="12">
        <v>19</v>
      </c>
      <c r="I32" s="12"/>
      <c r="J32" s="52">
        <f t="shared" si="1"/>
        <v>45</v>
      </c>
      <c r="K32" s="12"/>
    </row>
    <row r="33" spans="1:11" ht="18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82">
        <v>226</v>
      </c>
      <c r="D33" s="12"/>
      <c r="E33" s="12"/>
      <c r="F33" s="52">
        <f t="shared" si="0"/>
        <v>226</v>
      </c>
      <c r="G33" s="12"/>
      <c r="H33" s="12">
        <v>22</v>
      </c>
      <c r="I33" s="12">
        <v>1</v>
      </c>
      <c r="J33" s="52">
        <f t="shared" si="1"/>
        <v>203</v>
      </c>
      <c r="K33" s="12"/>
    </row>
    <row r="34" spans="1:11" ht="18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82">
        <v>55</v>
      </c>
      <c r="D34" s="12"/>
      <c r="E34" s="12"/>
      <c r="F34" s="52">
        <f t="shared" si="0"/>
        <v>55</v>
      </c>
      <c r="G34" s="12"/>
      <c r="H34" s="12"/>
      <c r="I34" s="12"/>
      <c r="J34" s="52">
        <f t="shared" si="1"/>
        <v>55</v>
      </c>
      <c r="K34" s="12"/>
    </row>
    <row r="35" spans="1:11" ht="18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82">
        <v>85</v>
      </c>
      <c r="D35" s="12"/>
      <c r="E35" s="12"/>
      <c r="F35" s="52">
        <f t="shared" si="0"/>
        <v>85</v>
      </c>
      <c r="G35" s="12">
        <v>5</v>
      </c>
      <c r="H35" s="12"/>
      <c r="I35" s="12"/>
      <c r="J35" s="52">
        <f t="shared" si="1"/>
        <v>80</v>
      </c>
      <c r="K35" s="12"/>
    </row>
    <row r="36" spans="1:11" ht="18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82">
        <v>50</v>
      </c>
      <c r="D36" s="12"/>
      <c r="E36" s="12"/>
      <c r="F36" s="52">
        <f t="shared" si="0"/>
        <v>50</v>
      </c>
      <c r="G36" s="12">
        <v>13</v>
      </c>
      <c r="H36" s="12">
        <v>2</v>
      </c>
      <c r="I36" s="12"/>
      <c r="J36" s="52">
        <f t="shared" si="1"/>
        <v>35</v>
      </c>
      <c r="K36" s="12"/>
    </row>
    <row r="37" spans="1:11" ht="18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82">
        <v>188</v>
      </c>
      <c r="D37" s="12"/>
      <c r="E37" s="12">
        <v>20</v>
      </c>
      <c r="F37" s="52">
        <f t="shared" si="0"/>
        <v>208</v>
      </c>
      <c r="G37" s="12">
        <v>139</v>
      </c>
      <c r="H37" s="12"/>
      <c r="I37" s="12"/>
      <c r="J37" s="52">
        <f t="shared" si="1"/>
        <v>69</v>
      </c>
      <c r="K37" s="12"/>
    </row>
    <row r="38" spans="1:11" ht="18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82">
        <v>41</v>
      </c>
      <c r="D38" s="12"/>
      <c r="E38" s="12">
        <v>3</v>
      </c>
      <c r="F38" s="52">
        <f t="shared" si="0"/>
        <v>44</v>
      </c>
      <c r="G38" s="12">
        <v>44</v>
      </c>
      <c r="H38" s="12"/>
      <c r="I38" s="12"/>
      <c r="J38" s="52">
        <f t="shared" si="1"/>
        <v>0</v>
      </c>
      <c r="K38" s="12"/>
    </row>
    <row r="39" spans="1:11" ht="18" customHeight="1">
      <c r="A39" s="14"/>
      <c r="B39" s="15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8" customHeight="1">
      <c r="A40" s="16"/>
      <c r="B40" s="17"/>
      <c r="C40" s="47"/>
      <c r="D40" s="17"/>
      <c r="E40" s="17"/>
      <c r="F40" s="17"/>
      <c r="G40" s="17"/>
      <c r="H40" s="17"/>
      <c r="I40" s="17"/>
      <c r="J40" s="26"/>
      <c r="K40" s="17"/>
    </row>
    <row r="41" spans="1:11" ht="18" customHeight="1">
      <c r="A41" s="16"/>
      <c r="B41" s="17"/>
      <c r="C41" s="47"/>
      <c r="D41" s="17"/>
      <c r="E41" s="17"/>
      <c r="F41" s="17"/>
      <c r="G41" s="17"/>
      <c r="H41" s="17"/>
      <c r="I41" s="17"/>
      <c r="J41" s="26"/>
      <c r="K41" s="17"/>
    </row>
    <row r="42" spans="1:11" ht="18" customHeight="1">
      <c r="A42" s="16"/>
      <c r="B42" s="17"/>
      <c r="C42" s="47"/>
      <c r="D42" s="17"/>
      <c r="E42" s="17"/>
      <c r="F42" s="17"/>
      <c r="G42" s="17"/>
      <c r="H42" s="17"/>
      <c r="I42" s="17"/>
      <c r="J42" s="26"/>
      <c r="K42" s="17"/>
    </row>
    <row r="43" spans="1:11" ht="18" customHeight="1">
      <c r="A43" s="16"/>
      <c r="B43" s="17"/>
      <c r="C43" s="47"/>
      <c r="D43" s="17"/>
      <c r="E43" s="17"/>
      <c r="F43" s="17"/>
      <c r="G43" s="17"/>
      <c r="H43" s="17"/>
      <c r="I43" s="17"/>
      <c r="J43" s="17"/>
      <c r="K43" s="17"/>
    </row>
    <row r="44" spans="1:11" ht="18" customHeight="1">
      <c r="A44" s="18" t="s">
        <v>60</v>
      </c>
      <c r="B44" s="18"/>
      <c r="C44" s="18"/>
      <c r="D44" s="18"/>
      <c r="E44" s="18"/>
      <c r="F44" s="18"/>
      <c r="G44" s="18"/>
      <c r="H44" s="19"/>
      <c r="I44" s="18"/>
      <c r="J44" s="18"/>
      <c r="K44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5" right="0.12" top="0.75" bottom="0.2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4"/>
  <sheetViews>
    <sheetView topLeftCell="A8" zoomScale="80" zoomScaleNormal="80" workbookViewId="0">
      <selection activeCell="B29" sqref="B29"/>
    </sheetView>
  </sheetViews>
  <sheetFormatPr defaultRowHeight="15"/>
  <cols>
    <col min="1" max="1" width="18.85546875" customWidth="1"/>
    <col min="2" max="2" width="8.42578125" customWidth="1"/>
    <col min="3" max="3" width="8.5703125" customWidth="1"/>
    <col min="5" max="5" width="8.140625" customWidth="1"/>
    <col min="6" max="6" width="8.42578125" customWidth="1"/>
    <col min="7" max="7" width="8" customWidth="1"/>
    <col min="8" max="8" width="8.5703125" customWidth="1"/>
    <col min="9" max="10" width="8" customWidth="1"/>
    <col min="11" max="11" width="7.7109375" customWidth="1"/>
  </cols>
  <sheetData>
    <row r="1" spans="1:11" ht="27">
      <c r="A1" s="98" t="s">
        <v>14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>
      <c r="A2" s="99" t="s">
        <v>15</v>
      </c>
      <c r="B2" s="99"/>
      <c r="C2" s="99"/>
      <c r="D2" s="99"/>
      <c r="E2" s="99"/>
      <c r="F2" s="99"/>
      <c r="G2" s="99"/>
      <c r="H2" s="99"/>
      <c r="I2" s="99"/>
      <c r="J2" s="99"/>
      <c r="K2" s="99"/>
    </row>
    <row r="3" spans="1:11" ht="18">
      <c r="A3" s="100" t="s">
        <v>16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</row>
    <row r="4" spans="1:11">
      <c r="A4" s="1" t="s">
        <v>78</v>
      </c>
      <c r="B4" s="1"/>
      <c r="C4" s="1"/>
      <c r="D4" s="1"/>
      <c r="E4" s="1"/>
      <c r="F4" s="1"/>
      <c r="G4" s="1"/>
      <c r="H4" s="2"/>
      <c r="J4" s="2"/>
      <c r="K4" s="3" t="s">
        <v>63</v>
      </c>
    </row>
    <row r="5" spans="1:11" ht="18" customHeight="1">
      <c r="A5" s="101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102" t="s">
        <v>26</v>
      </c>
    </row>
    <row r="6" spans="1:11" ht="18" customHeight="1">
      <c r="A6" s="101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103"/>
    </row>
    <row r="7" spans="1:11" ht="18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43">
        <v>0</v>
      </c>
      <c r="D7" s="9"/>
      <c r="E7" s="9"/>
      <c r="F7" s="9">
        <f>C7+D7+E7</f>
        <v>0</v>
      </c>
      <c r="G7" s="9"/>
      <c r="H7" s="9"/>
      <c r="I7" s="9"/>
      <c r="J7" s="9">
        <f>F7-G7-H7-I7</f>
        <v>0</v>
      </c>
      <c r="K7" s="9"/>
    </row>
    <row r="8" spans="1:11" ht="18" customHeight="1">
      <c r="A8" s="7" t="str">
        <f>'Company Stock '!A9</f>
        <v xml:space="preserve">Aqua Amla </v>
      </c>
      <c r="B8" s="8" t="str">
        <f>'Company Stock '!B9</f>
        <v>500gm</v>
      </c>
      <c r="C8" s="43">
        <v>160</v>
      </c>
      <c r="D8" s="11"/>
      <c r="E8" s="11"/>
      <c r="F8" s="9">
        <f t="shared" ref="F8:F38" si="0">C8+D8+E8</f>
        <v>160</v>
      </c>
      <c r="G8" s="11"/>
      <c r="H8" s="11"/>
      <c r="I8" s="11"/>
      <c r="J8" s="9">
        <f t="shared" ref="J8:J38" si="1">F8-G8-H8-I8</f>
        <v>160</v>
      </c>
      <c r="K8" s="11"/>
    </row>
    <row r="9" spans="1:11" ht="18" customHeight="1">
      <c r="A9" s="7" t="str">
        <f>'Company Stock '!A10</f>
        <v xml:space="preserve">Aqua Milk Premium </v>
      </c>
      <c r="B9" s="8" t="str">
        <f>'Company Stock '!B10</f>
        <v>500gm</v>
      </c>
      <c r="C9" s="43">
        <v>80</v>
      </c>
      <c r="D9" s="11"/>
      <c r="E9" s="11"/>
      <c r="F9" s="9">
        <f t="shared" si="0"/>
        <v>80</v>
      </c>
      <c r="G9" s="11"/>
      <c r="H9" s="11"/>
      <c r="I9" s="11"/>
      <c r="J9" s="9">
        <f t="shared" si="1"/>
        <v>80</v>
      </c>
      <c r="K9" s="11"/>
    </row>
    <row r="10" spans="1:11" ht="18" customHeight="1">
      <c r="A10" s="7" t="str">
        <f>'Company Stock '!A11</f>
        <v xml:space="preserve">Aqua Safe Plus </v>
      </c>
      <c r="B10" s="8" t="str">
        <f>'Company Stock '!B11</f>
        <v>5kg</v>
      </c>
      <c r="C10" s="43">
        <v>40</v>
      </c>
      <c r="D10" s="11"/>
      <c r="E10" s="11"/>
      <c r="F10" s="9">
        <f t="shared" si="0"/>
        <v>40</v>
      </c>
      <c r="G10" s="11"/>
      <c r="H10" s="11"/>
      <c r="I10" s="11"/>
      <c r="J10" s="9">
        <f t="shared" si="1"/>
        <v>40</v>
      </c>
      <c r="K10" s="11"/>
    </row>
    <row r="11" spans="1:11" ht="18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43">
        <v>0</v>
      </c>
      <c r="D11" s="11"/>
      <c r="E11" s="11"/>
      <c r="F11" s="9">
        <f t="shared" si="0"/>
        <v>0</v>
      </c>
      <c r="G11" s="11"/>
      <c r="H11" s="11"/>
      <c r="I11" s="11"/>
      <c r="J11" s="9">
        <f t="shared" si="1"/>
        <v>0</v>
      </c>
      <c r="K11" s="11"/>
    </row>
    <row r="12" spans="1:11" ht="18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43">
        <v>213</v>
      </c>
      <c r="D12" s="11"/>
      <c r="E12" s="11"/>
      <c r="F12" s="9">
        <f t="shared" si="0"/>
        <v>213</v>
      </c>
      <c r="G12" s="11"/>
      <c r="H12" s="11">
        <v>30</v>
      </c>
      <c r="I12" s="11"/>
      <c r="J12" s="9">
        <f t="shared" si="1"/>
        <v>183</v>
      </c>
      <c r="K12" s="11"/>
    </row>
    <row r="13" spans="1:11" ht="18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43">
        <v>70</v>
      </c>
      <c r="D13" s="11"/>
      <c r="E13" s="11"/>
      <c r="F13" s="9">
        <f t="shared" si="0"/>
        <v>70</v>
      </c>
      <c r="G13" s="11"/>
      <c r="H13" s="11"/>
      <c r="I13" s="11"/>
      <c r="J13" s="9">
        <f t="shared" si="1"/>
        <v>70</v>
      </c>
      <c r="K13" s="11"/>
    </row>
    <row r="14" spans="1:11" ht="18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43">
        <v>74</v>
      </c>
      <c r="D14" s="11">
        <v>75</v>
      </c>
      <c r="E14" s="11"/>
      <c r="F14" s="9">
        <f t="shared" si="0"/>
        <v>149</v>
      </c>
      <c r="G14" s="11"/>
      <c r="H14" s="11">
        <v>15</v>
      </c>
      <c r="I14" s="11"/>
      <c r="J14" s="9">
        <f t="shared" si="1"/>
        <v>134</v>
      </c>
      <c r="K14" s="11"/>
    </row>
    <row r="15" spans="1:11" ht="18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43">
        <v>48</v>
      </c>
      <c r="D15" s="11"/>
      <c r="E15" s="11"/>
      <c r="F15" s="9">
        <f t="shared" si="0"/>
        <v>48</v>
      </c>
      <c r="G15" s="11"/>
      <c r="H15" s="11"/>
      <c r="I15" s="11"/>
      <c r="J15" s="9">
        <f t="shared" si="1"/>
        <v>48</v>
      </c>
      <c r="K15" s="11"/>
    </row>
    <row r="16" spans="1:11" ht="18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43">
        <v>35</v>
      </c>
      <c r="D16" s="11"/>
      <c r="E16" s="11"/>
      <c r="F16" s="9">
        <f t="shared" si="0"/>
        <v>35</v>
      </c>
      <c r="G16" s="11"/>
      <c r="H16" s="11"/>
      <c r="I16" s="11"/>
      <c r="J16" s="9">
        <f t="shared" si="1"/>
        <v>35</v>
      </c>
      <c r="K16" s="11"/>
    </row>
    <row r="17" spans="1:11" ht="18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43">
        <v>150</v>
      </c>
      <c r="D17" s="11">
        <v>300</v>
      </c>
      <c r="E17" s="11"/>
      <c r="F17" s="9">
        <f t="shared" si="0"/>
        <v>450</v>
      </c>
      <c r="G17" s="11"/>
      <c r="H17" s="11">
        <v>255</v>
      </c>
      <c r="I17" s="11"/>
      <c r="J17" s="9">
        <f t="shared" si="1"/>
        <v>195</v>
      </c>
      <c r="K17" s="11"/>
    </row>
    <row r="18" spans="1:11" ht="18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43">
        <v>96</v>
      </c>
      <c r="D18" s="11"/>
      <c r="E18" s="11"/>
      <c r="F18" s="9">
        <f t="shared" si="0"/>
        <v>96</v>
      </c>
      <c r="G18" s="11"/>
      <c r="H18" s="11"/>
      <c r="I18" s="11"/>
      <c r="J18" s="9">
        <f t="shared" si="1"/>
        <v>96</v>
      </c>
      <c r="K18" s="11"/>
    </row>
    <row r="19" spans="1:11" ht="18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43">
        <v>0</v>
      </c>
      <c r="D19" s="11"/>
      <c r="E19" s="11"/>
      <c r="F19" s="9">
        <f t="shared" si="0"/>
        <v>0</v>
      </c>
      <c r="G19" s="11"/>
      <c r="H19" s="11"/>
      <c r="I19" s="11"/>
      <c r="J19" s="9">
        <f t="shared" si="1"/>
        <v>0</v>
      </c>
      <c r="K19" s="11"/>
    </row>
    <row r="20" spans="1:11" ht="18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43">
        <v>0</v>
      </c>
      <c r="D20" s="12"/>
      <c r="E20" s="12"/>
      <c r="F20" s="9">
        <f t="shared" si="0"/>
        <v>0</v>
      </c>
      <c r="G20" s="12"/>
      <c r="H20" s="12"/>
      <c r="I20" s="12"/>
      <c r="J20" s="9">
        <f t="shared" si="1"/>
        <v>0</v>
      </c>
      <c r="K20" s="12"/>
    </row>
    <row r="21" spans="1:11" ht="18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43">
        <v>0</v>
      </c>
      <c r="D21" s="11"/>
      <c r="E21" s="11"/>
      <c r="F21" s="9">
        <f t="shared" si="0"/>
        <v>0</v>
      </c>
      <c r="G21" s="11"/>
      <c r="H21" s="11"/>
      <c r="I21" s="11"/>
      <c r="J21" s="9">
        <f t="shared" si="1"/>
        <v>0</v>
      </c>
      <c r="K21" s="11"/>
    </row>
    <row r="22" spans="1:11" ht="18" customHeight="1">
      <c r="A22" s="7" t="str">
        <f>'Company Stock '!A23</f>
        <v>Green Vita</v>
      </c>
      <c r="B22" s="8" t="str">
        <f>'Company Stock '!B23</f>
        <v>500gm</v>
      </c>
      <c r="C22" s="43">
        <v>40</v>
      </c>
      <c r="D22" s="11"/>
      <c r="E22" s="11"/>
      <c r="F22" s="9">
        <f t="shared" si="0"/>
        <v>40</v>
      </c>
      <c r="G22" s="11"/>
      <c r="H22" s="11"/>
      <c r="I22" s="11"/>
      <c r="J22" s="9">
        <f t="shared" si="1"/>
        <v>40</v>
      </c>
      <c r="K22" s="11"/>
    </row>
    <row r="23" spans="1:11" ht="18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43">
        <v>68</v>
      </c>
      <c r="D23" s="11"/>
      <c r="E23" s="11"/>
      <c r="F23" s="9">
        <f t="shared" si="0"/>
        <v>68</v>
      </c>
      <c r="G23" s="11"/>
      <c r="H23" s="11"/>
      <c r="I23" s="11"/>
      <c r="J23" s="9">
        <f t="shared" si="1"/>
        <v>68</v>
      </c>
      <c r="K23" s="11"/>
    </row>
    <row r="24" spans="1:11" ht="18" customHeight="1">
      <c r="A24" s="7" t="str">
        <f>'Company Stock '!A25</f>
        <v>Oxy-win (Granular)</v>
      </c>
      <c r="B24" s="8" t="str">
        <f>'Company Stock '!B25</f>
        <v xml:space="preserve">1kg </v>
      </c>
      <c r="C24" s="43">
        <v>40</v>
      </c>
      <c r="D24" s="11"/>
      <c r="E24" s="11"/>
      <c r="F24" s="9">
        <f t="shared" si="0"/>
        <v>40</v>
      </c>
      <c r="G24" s="11"/>
      <c r="H24" s="11"/>
      <c r="I24" s="11"/>
      <c r="J24" s="9">
        <f t="shared" si="1"/>
        <v>40</v>
      </c>
      <c r="K24" s="11"/>
    </row>
    <row r="25" spans="1:11" ht="18" customHeight="1">
      <c r="A25" s="7" t="str">
        <f>'Company Stock '!A26</f>
        <v>Oxy-win (Tablet)</v>
      </c>
      <c r="B25" s="8" t="str">
        <f>'Company Stock '!B26</f>
        <v xml:space="preserve">1kg </v>
      </c>
      <c r="C25" s="43">
        <v>50</v>
      </c>
      <c r="D25" s="11"/>
      <c r="E25" s="11"/>
      <c r="F25" s="9">
        <f t="shared" si="0"/>
        <v>50</v>
      </c>
      <c r="G25" s="11"/>
      <c r="H25" s="11"/>
      <c r="I25" s="11"/>
      <c r="J25" s="9">
        <f t="shared" si="1"/>
        <v>50</v>
      </c>
      <c r="K25" s="11"/>
    </row>
    <row r="26" spans="1:11" ht="18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43">
        <v>80</v>
      </c>
      <c r="D26" s="11"/>
      <c r="E26" s="11"/>
      <c r="F26" s="9">
        <f t="shared" si="0"/>
        <v>80</v>
      </c>
      <c r="G26" s="11"/>
      <c r="H26" s="11"/>
      <c r="I26" s="11"/>
      <c r="J26" s="9">
        <f t="shared" si="1"/>
        <v>80</v>
      </c>
      <c r="K26" s="11"/>
    </row>
    <row r="27" spans="1:11" ht="18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43">
        <v>14</v>
      </c>
      <c r="D27" s="11">
        <v>75</v>
      </c>
      <c r="E27" s="11"/>
      <c r="F27" s="9">
        <f t="shared" si="0"/>
        <v>89</v>
      </c>
      <c r="G27" s="11"/>
      <c r="H27" s="11"/>
      <c r="I27" s="11"/>
      <c r="J27" s="9">
        <f t="shared" si="1"/>
        <v>89</v>
      </c>
      <c r="K27" s="11"/>
    </row>
    <row r="28" spans="1:11" ht="18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43">
        <v>50</v>
      </c>
      <c r="D28" s="11"/>
      <c r="E28" s="11"/>
      <c r="F28" s="9">
        <f t="shared" si="0"/>
        <v>50</v>
      </c>
      <c r="G28" s="11"/>
      <c r="H28" s="11"/>
      <c r="I28" s="11"/>
      <c r="J28" s="9">
        <f t="shared" si="1"/>
        <v>50</v>
      </c>
      <c r="K28" s="11"/>
    </row>
    <row r="29" spans="1:11" ht="18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43">
        <v>44</v>
      </c>
      <c r="D29" s="11"/>
      <c r="E29" s="11"/>
      <c r="F29" s="9">
        <f t="shared" si="0"/>
        <v>44</v>
      </c>
      <c r="G29" s="11"/>
      <c r="H29" s="11"/>
      <c r="I29" s="11"/>
      <c r="J29" s="9">
        <f t="shared" si="1"/>
        <v>44</v>
      </c>
      <c r="K29" s="11"/>
    </row>
    <row r="30" spans="1:11" ht="18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43">
        <v>0</v>
      </c>
      <c r="D30" s="13"/>
      <c r="E30" s="13"/>
      <c r="F30" s="9">
        <f t="shared" si="0"/>
        <v>0</v>
      </c>
      <c r="G30" s="13"/>
      <c r="H30" s="13"/>
      <c r="I30" s="13"/>
      <c r="J30" s="9">
        <f t="shared" si="1"/>
        <v>0</v>
      </c>
      <c r="K30" s="13"/>
    </row>
    <row r="31" spans="1:11" ht="18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44">
        <v>0</v>
      </c>
      <c r="D31" s="13"/>
      <c r="E31" s="13"/>
      <c r="F31" s="9">
        <f t="shared" si="0"/>
        <v>0</v>
      </c>
      <c r="G31" s="13"/>
      <c r="H31" s="13"/>
      <c r="I31" s="13"/>
      <c r="J31" s="9">
        <f t="shared" si="1"/>
        <v>0</v>
      </c>
      <c r="K31" s="13"/>
    </row>
    <row r="32" spans="1:11" ht="18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44">
        <v>23</v>
      </c>
      <c r="D32" s="11"/>
      <c r="E32" s="11"/>
      <c r="F32" s="9">
        <f t="shared" si="0"/>
        <v>23</v>
      </c>
      <c r="G32" s="11"/>
      <c r="H32" s="11"/>
      <c r="I32" s="11"/>
      <c r="J32" s="9">
        <f t="shared" si="1"/>
        <v>23</v>
      </c>
      <c r="K32" s="11"/>
    </row>
    <row r="33" spans="1:12" ht="18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44">
        <v>215</v>
      </c>
      <c r="D33" s="11"/>
      <c r="E33" s="11"/>
      <c r="F33" s="9">
        <f t="shared" si="0"/>
        <v>215</v>
      </c>
      <c r="G33" s="11"/>
      <c r="H33" s="11"/>
      <c r="I33" s="11"/>
      <c r="J33" s="9">
        <f t="shared" si="1"/>
        <v>215</v>
      </c>
      <c r="K33" s="11"/>
      <c r="L33" s="21"/>
    </row>
    <row r="34" spans="1:12" ht="18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44">
        <v>350</v>
      </c>
      <c r="D34" s="11"/>
      <c r="E34" s="11"/>
      <c r="F34" s="9">
        <f t="shared" si="0"/>
        <v>350</v>
      </c>
      <c r="G34" s="11"/>
      <c r="H34" s="11">
        <v>96</v>
      </c>
      <c r="I34" s="11"/>
      <c r="J34" s="9">
        <f t="shared" si="1"/>
        <v>254</v>
      </c>
      <c r="K34" s="11"/>
      <c r="L34" s="21"/>
    </row>
    <row r="35" spans="1:12" ht="18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44">
        <v>199</v>
      </c>
      <c r="D35" s="11"/>
      <c r="E35" s="11"/>
      <c r="F35" s="9">
        <f t="shared" si="0"/>
        <v>199</v>
      </c>
      <c r="G35" s="11"/>
      <c r="H35" s="11"/>
      <c r="I35" s="11"/>
      <c r="J35" s="9">
        <f t="shared" si="1"/>
        <v>199</v>
      </c>
      <c r="K35" s="11"/>
    </row>
    <row r="36" spans="1:12" ht="18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44">
        <v>113</v>
      </c>
      <c r="D36" s="11"/>
      <c r="E36" s="11"/>
      <c r="F36" s="9">
        <f t="shared" si="0"/>
        <v>113</v>
      </c>
      <c r="G36" s="11"/>
      <c r="H36" s="11"/>
      <c r="I36" s="11"/>
      <c r="J36" s="9">
        <f t="shared" si="1"/>
        <v>113</v>
      </c>
      <c r="K36" s="11"/>
    </row>
    <row r="37" spans="1:12" s="88" customFormat="1" ht="18" customHeight="1">
      <c r="A37" s="83" t="str">
        <f>'Company Stock '!A38</f>
        <v xml:space="preserve">Winxide Aqua </v>
      </c>
      <c r="B37" s="84" t="str">
        <f>'Company Stock '!B38</f>
        <v xml:space="preserve">100ml </v>
      </c>
      <c r="C37" s="85">
        <v>34</v>
      </c>
      <c r="D37" s="86">
        <v>56</v>
      </c>
      <c r="E37" s="86"/>
      <c r="F37" s="87">
        <f t="shared" si="0"/>
        <v>90</v>
      </c>
      <c r="G37" s="86"/>
      <c r="H37" s="86"/>
      <c r="I37" s="86"/>
      <c r="J37" s="87">
        <f t="shared" si="1"/>
        <v>90</v>
      </c>
      <c r="K37" s="86"/>
    </row>
    <row r="38" spans="1:12" ht="18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43">
        <v>115</v>
      </c>
      <c r="D38" s="11"/>
      <c r="E38" s="11"/>
      <c r="F38" s="9">
        <f t="shared" si="0"/>
        <v>115</v>
      </c>
      <c r="G38" s="11"/>
      <c r="H38" s="11"/>
      <c r="I38" s="11"/>
      <c r="J38" s="9">
        <f t="shared" si="1"/>
        <v>115</v>
      </c>
      <c r="K38" s="11"/>
    </row>
    <row r="39" spans="1:12" ht="18" customHeight="1">
      <c r="A39" s="7"/>
      <c r="B39" s="8"/>
      <c r="C39" s="10"/>
      <c r="D39" s="10"/>
      <c r="E39" s="10"/>
      <c r="F39" s="9"/>
      <c r="G39" s="10"/>
      <c r="H39" s="10"/>
      <c r="I39" s="10"/>
      <c r="J39" s="9"/>
      <c r="K39" s="10"/>
    </row>
    <row r="40" spans="1:12" ht="18" customHeight="1">
      <c r="A40" s="16"/>
      <c r="B40" s="17"/>
      <c r="C40" s="17"/>
      <c r="D40" s="17"/>
      <c r="E40" s="17"/>
      <c r="F40" s="17"/>
      <c r="G40" s="17"/>
      <c r="H40" s="17"/>
      <c r="I40" s="17"/>
      <c r="J40" s="26"/>
      <c r="K40" s="17"/>
    </row>
    <row r="41" spans="1:12" ht="18" customHeight="1">
      <c r="A41" s="16"/>
      <c r="B41" s="17"/>
      <c r="C41" s="17"/>
      <c r="D41" s="17"/>
      <c r="E41" s="17"/>
      <c r="F41" s="17"/>
      <c r="G41" s="17"/>
      <c r="H41" s="17"/>
      <c r="I41" s="17"/>
      <c r="J41" s="26"/>
      <c r="K41" s="17"/>
    </row>
    <row r="42" spans="1:12" ht="18" customHeight="1">
      <c r="A42" s="16"/>
      <c r="B42" s="17"/>
      <c r="C42" s="17"/>
      <c r="D42" s="17"/>
      <c r="E42" s="17"/>
      <c r="F42" s="17"/>
      <c r="G42" s="17"/>
      <c r="H42" s="17"/>
      <c r="I42" s="17"/>
      <c r="J42" s="26"/>
      <c r="K42" s="17"/>
    </row>
    <row r="43" spans="1:12" ht="18" customHeight="1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2" ht="18" customHeight="1">
      <c r="A44" s="18" t="s">
        <v>60</v>
      </c>
      <c r="B44" s="18"/>
      <c r="C44" s="18"/>
      <c r="D44" s="18"/>
      <c r="E44" s="18"/>
      <c r="F44" s="18"/>
      <c r="G44" s="18"/>
      <c r="H44" s="19"/>
      <c r="I44" s="18"/>
      <c r="J44" s="18"/>
      <c r="K44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" top="0.5" bottom="0.5" header="0" footer="0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13AA-1FDA-4059-B48E-2527A60E7F16}">
  <dimension ref="A1:K25"/>
  <sheetViews>
    <sheetView tabSelected="1" topLeftCell="A10" workbookViewId="0">
      <selection activeCell="C17" sqref="A1:K21"/>
    </sheetView>
  </sheetViews>
  <sheetFormatPr defaultRowHeight="15"/>
  <cols>
    <col min="1" max="1" width="18.7109375" customWidth="1"/>
    <col min="2" max="2" width="16.85546875" bestFit="1" customWidth="1"/>
    <col min="3" max="3" width="18.85546875" bestFit="1" customWidth="1"/>
    <col min="5" max="5" width="10.5703125" customWidth="1"/>
    <col min="6" max="6" width="13.28515625" bestFit="1" customWidth="1"/>
    <col min="7" max="7" width="9.28515625" bestFit="1" customWidth="1"/>
    <col min="8" max="8" width="13.28515625" bestFit="1" customWidth="1"/>
    <col min="9" max="9" width="9.42578125" bestFit="1" customWidth="1"/>
    <col min="10" max="10" width="16" bestFit="1" customWidth="1"/>
    <col min="11" max="11" width="9.7109375" customWidth="1"/>
  </cols>
  <sheetData>
    <row r="1" spans="1:11" ht="27">
      <c r="A1" s="98" t="s">
        <v>14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>
      <c r="A2" s="99" t="s">
        <v>81</v>
      </c>
      <c r="B2" s="99"/>
      <c r="C2" s="99"/>
      <c r="D2" s="99"/>
      <c r="E2" s="99"/>
      <c r="F2" s="99"/>
      <c r="G2" s="99"/>
      <c r="H2" s="99"/>
      <c r="I2" s="99"/>
      <c r="J2" s="99"/>
      <c r="K2" s="99"/>
    </row>
    <row r="3" spans="1:11" ht="18">
      <c r="A3" s="100" t="s">
        <v>16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</row>
    <row r="4" spans="1:11">
      <c r="A4" s="1" t="s">
        <v>78</v>
      </c>
      <c r="B4" s="1"/>
      <c r="C4" s="1"/>
      <c r="D4" s="1"/>
      <c r="E4" s="1"/>
      <c r="F4" s="1"/>
      <c r="G4" s="1"/>
      <c r="H4" s="1"/>
      <c r="I4" s="1"/>
      <c r="K4" s="3" t="s">
        <v>82</v>
      </c>
    </row>
    <row r="5" spans="1:11" s="113" customFormat="1" ht="18" customHeight="1">
      <c r="A5" s="110" t="s">
        <v>17</v>
      </c>
      <c r="B5" s="111" t="s">
        <v>83</v>
      </c>
      <c r="C5" s="111" t="s">
        <v>84</v>
      </c>
      <c r="D5" s="111" t="s">
        <v>21</v>
      </c>
      <c r="E5" s="111" t="s">
        <v>1</v>
      </c>
      <c r="F5" s="111" t="s">
        <v>85</v>
      </c>
      <c r="G5" s="111" t="s">
        <v>86</v>
      </c>
      <c r="H5" s="111" t="s">
        <v>87</v>
      </c>
      <c r="I5" s="111" t="s">
        <v>88</v>
      </c>
      <c r="J5" s="111" t="s">
        <v>89</v>
      </c>
      <c r="K5" s="112" t="s">
        <v>26</v>
      </c>
    </row>
    <row r="6" spans="1:11" s="113" customFormat="1" ht="18" customHeight="1">
      <c r="A6" s="110"/>
      <c r="B6" s="114" t="s">
        <v>90</v>
      </c>
      <c r="C6" s="114" t="s">
        <v>91</v>
      </c>
      <c r="D6" s="114" t="s">
        <v>28</v>
      </c>
      <c r="E6" s="114" t="s">
        <v>92</v>
      </c>
      <c r="F6" s="114" t="s">
        <v>93</v>
      </c>
      <c r="G6" s="114" t="s">
        <v>94</v>
      </c>
      <c r="H6" s="114" t="s">
        <v>94</v>
      </c>
      <c r="I6" s="114" t="s">
        <v>95</v>
      </c>
      <c r="J6" s="114" t="s">
        <v>95</v>
      </c>
      <c r="K6" s="115"/>
    </row>
    <row r="7" spans="1:11" ht="18" customHeight="1">
      <c r="A7" s="116" t="s">
        <v>31</v>
      </c>
      <c r="B7" s="117">
        <v>176</v>
      </c>
      <c r="C7" s="118"/>
      <c r="D7" s="119">
        <f>B7+C7</f>
        <v>176</v>
      </c>
      <c r="E7" s="120" t="s">
        <v>32</v>
      </c>
      <c r="F7" s="121"/>
      <c r="G7" s="120"/>
      <c r="H7" s="118">
        <v>100</v>
      </c>
      <c r="I7" s="118"/>
      <c r="J7" s="118">
        <f>D7-H7-I7</f>
        <v>76</v>
      </c>
      <c r="K7" s="120"/>
    </row>
    <row r="8" spans="1:11" ht="18" customHeight="1">
      <c r="A8" s="116" t="s">
        <v>31</v>
      </c>
      <c r="B8" s="122"/>
      <c r="C8" s="123"/>
      <c r="D8" s="124"/>
      <c r="E8" s="120" t="s">
        <v>10</v>
      </c>
      <c r="F8" s="121">
        <v>200</v>
      </c>
      <c r="G8" s="120"/>
      <c r="H8" s="123"/>
      <c r="I8" s="123"/>
      <c r="J8" s="123"/>
      <c r="K8" s="120"/>
    </row>
    <row r="9" spans="1:11" ht="18" customHeight="1">
      <c r="A9" s="116" t="s">
        <v>34</v>
      </c>
      <c r="B9" s="125">
        <v>2400</v>
      </c>
      <c r="C9" s="120"/>
      <c r="D9" s="120">
        <f>B9+C9</f>
        <v>2400</v>
      </c>
      <c r="E9" s="120" t="s">
        <v>96</v>
      </c>
      <c r="F9" s="121">
        <v>220</v>
      </c>
      <c r="G9" s="121"/>
      <c r="H9" s="120">
        <v>1100</v>
      </c>
      <c r="I9" s="120"/>
      <c r="J9" s="120">
        <f>D9-H9-I9</f>
        <v>1300</v>
      </c>
      <c r="K9" s="120"/>
    </row>
    <row r="10" spans="1:11" ht="18" customHeight="1">
      <c r="A10" s="116" t="s">
        <v>38</v>
      </c>
      <c r="B10" s="125">
        <v>0</v>
      </c>
      <c r="C10" s="120"/>
      <c r="D10" s="120">
        <f t="shared" ref="D10:D14" si="0">B10+C10</f>
        <v>0</v>
      </c>
      <c r="E10" s="120" t="s">
        <v>97</v>
      </c>
      <c r="F10" s="121"/>
      <c r="G10" s="121"/>
      <c r="H10" s="120"/>
      <c r="I10" s="118"/>
      <c r="J10" s="120">
        <f t="shared" ref="J10:J16" si="1">D10-H10</f>
        <v>0</v>
      </c>
      <c r="K10" s="120"/>
    </row>
    <row r="11" spans="1:11" ht="18" customHeight="1">
      <c r="A11" s="116" t="s">
        <v>38</v>
      </c>
      <c r="B11" s="125">
        <v>0</v>
      </c>
      <c r="C11" s="120"/>
      <c r="D11" s="120">
        <f t="shared" si="0"/>
        <v>0</v>
      </c>
      <c r="E11" s="120" t="s">
        <v>10</v>
      </c>
      <c r="F11" s="121"/>
      <c r="G11" s="121"/>
      <c r="H11" s="120"/>
      <c r="I11" s="123"/>
      <c r="J11" s="120">
        <f t="shared" si="1"/>
        <v>0</v>
      </c>
      <c r="K11" s="120"/>
    </row>
    <row r="12" spans="1:11" ht="18" customHeight="1">
      <c r="A12" s="116" t="s">
        <v>41</v>
      </c>
      <c r="B12" s="125">
        <v>480</v>
      </c>
      <c r="C12" s="120"/>
      <c r="D12" s="120">
        <f t="shared" si="0"/>
        <v>480</v>
      </c>
      <c r="E12" s="120" t="s">
        <v>98</v>
      </c>
      <c r="F12" s="121">
        <v>367</v>
      </c>
      <c r="G12" s="121"/>
      <c r="H12" s="120">
        <v>367</v>
      </c>
      <c r="I12" s="120"/>
      <c r="J12" s="120">
        <f t="shared" si="1"/>
        <v>113</v>
      </c>
      <c r="K12" s="120"/>
    </row>
    <row r="13" spans="1:11" ht="18" customHeight="1">
      <c r="A13" s="116" t="s">
        <v>44</v>
      </c>
      <c r="B13" s="125">
        <v>1340</v>
      </c>
      <c r="C13" s="120"/>
      <c r="D13" s="120">
        <f t="shared" si="0"/>
        <v>1340</v>
      </c>
      <c r="E13" s="120" t="s">
        <v>39</v>
      </c>
      <c r="F13" s="121">
        <v>480</v>
      </c>
      <c r="G13" s="121"/>
      <c r="H13" s="120">
        <v>240</v>
      </c>
      <c r="I13" s="120"/>
      <c r="J13" s="120">
        <f>D13-H13-I13</f>
        <v>1100</v>
      </c>
      <c r="K13" s="120"/>
    </row>
    <row r="14" spans="1:11" ht="18" customHeight="1">
      <c r="A14" s="116" t="s">
        <v>47</v>
      </c>
      <c r="B14" s="125">
        <v>303.5</v>
      </c>
      <c r="C14" s="120"/>
      <c r="D14" s="120">
        <f t="shared" si="0"/>
        <v>303.5</v>
      </c>
      <c r="E14" s="120" t="s">
        <v>39</v>
      </c>
      <c r="F14" s="121">
        <v>260</v>
      </c>
      <c r="G14" s="121"/>
      <c r="H14" s="120">
        <v>130</v>
      </c>
      <c r="I14" s="120"/>
      <c r="J14" s="120">
        <f t="shared" si="1"/>
        <v>173.5</v>
      </c>
      <c r="K14" s="120"/>
    </row>
    <row r="15" spans="1:11" ht="18" customHeight="1">
      <c r="A15" s="116" t="s">
        <v>59</v>
      </c>
      <c r="B15" s="117">
        <v>34.9</v>
      </c>
      <c r="C15" s="118"/>
      <c r="D15" s="118">
        <f>B15+C15</f>
        <v>34.9</v>
      </c>
      <c r="E15" s="120" t="s">
        <v>99</v>
      </c>
      <c r="F15" s="121"/>
      <c r="G15" s="121"/>
      <c r="H15" s="118"/>
      <c r="I15" s="118"/>
      <c r="J15" s="118">
        <f t="shared" si="1"/>
        <v>34.9</v>
      </c>
      <c r="K15" s="120"/>
    </row>
    <row r="16" spans="1:11" ht="18" customHeight="1">
      <c r="A16" s="116" t="s">
        <v>59</v>
      </c>
      <c r="B16" s="122"/>
      <c r="C16" s="123"/>
      <c r="D16" s="123"/>
      <c r="E16" s="120" t="s">
        <v>100</v>
      </c>
      <c r="F16" s="121"/>
      <c r="G16" s="121"/>
      <c r="H16" s="123"/>
      <c r="I16" s="123"/>
      <c r="J16" s="123"/>
      <c r="K16" s="120"/>
    </row>
    <row r="17" spans="1:11" ht="18" customHeight="1">
      <c r="A17" s="116" t="s">
        <v>54</v>
      </c>
      <c r="B17" s="117">
        <v>565.1</v>
      </c>
      <c r="C17" s="118"/>
      <c r="D17" s="118">
        <f t="shared" ref="D17" si="2">B17+C17</f>
        <v>565.1</v>
      </c>
      <c r="E17" s="120" t="s">
        <v>101</v>
      </c>
      <c r="F17" s="121">
        <v>1000</v>
      </c>
      <c r="G17" s="121">
        <v>50</v>
      </c>
      <c r="H17" s="118">
        <v>184.4</v>
      </c>
      <c r="I17" s="118"/>
      <c r="J17" s="118">
        <f>D17-H17-I17</f>
        <v>380.70000000000005</v>
      </c>
      <c r="K17" s="120"/>
    </row>
    <row r="18" spans="1:11" ht="18" customHeight="1">
      <c r="A18" s="116" t="s">
        <v>54</v>
      </c>
      <c r="B18" s="122"/>
      <c r="C18" s="123"/>
      <c r="D18" s="123"/>
      <c r="E18" s="120" t="s">
        <v>102</v>
      </c>
      <c r="F18" s="121">
        <v>672</v>
      </c>
      <c r="G18" s="121">
        <v>134.4</v>
      </c>
      <c r="H18" s="123"/>
      <c r="I18" s="123"/>
      <c r="J18" s="123"/>
      <c r="K18" s="120"/>
    </row>
    <row r="19" spans="1:11" ht="18" customHeight="1">
      <c r="A19" s="116" t="s">
        <v>45</v>
      </c>
      <c r="B19" s="117">
        <v>0</v>
      </c>
      <c r="C19" s="118"/>
      <c r="D19" s="118">
        <f t="shared" ref="D19" si="3">B19+C19</f>
        <v>0</v>
      </c>
      <c r="E19" s="120" t="s">
        <v>99</v>
      </c>
      <c r="F19" s="121"/>
      <c r="G19" s="121"/>
      <c r="H19" s="118"/>
      <c r="I19" s="118"/>
      <c r="J19" s="118">
        <f>D19-H19</f>
        <v>0</v>
      </c>
      <c r="K19" s="120"/>
    </row>
    <row r="20" spans="1:11" ht="18" customHeight="1">
      <c r="A20" s="116" t="s">
        <v>45</v>
      </c>
      <c r="B20" s="122"/>
      <c r="C20" s="123"/>
      <c r="D20" s="123"/>
      <c r="E20" s="120" t="s">
        <v>100</v>
      </c>
      <c r="F20" s="121"/>
      <c r="G20" s="121"/>
      <c r="H20" s="123"/>
      <c r="I20" s="123"/>
      <c r="J20" s="123"/>
      <c r="K20" s="120"/>
    </row>
    <row r="21" spans="1:11" ht="18" customHeight="1">
      <c r="A21" s="116" t="s">
        <v>46</v>
      </c>
      <c r="B21" s="125">
        <v>0</v>
      </c>
      <c r="C21" s="120"/>
      <c r="D21" s="120">
        <f>B21+C21</f>
        <v>0</v>
      </c>
      <c r="E21" s="120" t="s">
        <v>97</v>
      </c>
      <c r="F21" s="121"/>
      <c r="G21" s="121"/>
      <c r="H21" s="120"/>
      <c r="I21" s="120"/>
      <c r="J21" s="120">
        <f>D21-H21</f>
        <v>0</v>
      </c>
      <c r="K21" s="120"/>
    </row>
    <row r="22" spans="1:11" ht="18" customHeight="1">
      <c r="A22" s="126"/>
      <c r="B22" s="127"/>
      <c r="C22" s="47"/>
      <c r="D22" s="47"/>
      <c r="E22" s="47"/>
      <c r="F22" s="47"/>
      <c r="G22" s="47"/>
      <c r="H22" s="47"/>
      <c r="I22" s="47"/>
      <c r="J22" s="47"/>
      <c r="K22" s="47"/>
    </row>
    <row r="23" spans="1:11" ht="22.5" customHeight="1">
      <c r="A23" s="126"/>
      <c r="B23" s="127"/>
      <c r="C23" s="47"/>
      <c r="D23" s="47"/>
      <c r="E23" s="47"/>
      <c r="F23" s="47"/>
      <c r="G23" s="47"/>
      <c r="H23" s="47"/>
      <c r="I23" s="47"/>
      <c r="J23" s="47"/>
      <c r="K23" s="47"/>
    </row>
    <row r="24" spans="1:11" ht="18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1" ht="15.75">
      <c r="A25" s="18" t="s">
        <v>60</v>
      </c>
      <c r="B25" s="18"/>
      <c r="C25" s="18"/>
      <c r="D25" s="18"/>
      <c r="E25" s="18"/>
      <c r="F25" s="18"/>
      <c r="G25" s="18"/>
      <c r="H25" s="18"/>
      <c r="I25" s="18"/>
      <c r="J25" s="19"/>
      <c r="K25" s="3" t="s">
        <v>61</v>
      </c>
    </row>
  </sheetData>
  <mergeCells count="30">
    <mergeCell ref="B19:B20"/>
    <mergeCell ref="C19:C20"/>
    <mergeCell ref="D19:D20"/>
    <mergeCell ref="H19:H20"/>
    <mergeCell ref="I19:I20"/>
    <mergeCell ref="J19:J20"/>
    <mergeCell ref="B17:B18"/>
    <mergeCell ref="C17:C18"/>
    <mergeCell ref="D17:D18"/>
    <mergeCell ref="H17:H18"/>
    <mergeCell ref="I17:I18"/>
    <mergeCell ref="J17:J18"/>
    <mergeCell ref="J7:J8"/>
    <mergeCell ref="I10:I11"/>
    <mergeCell ref="B15:B16"/>
    <mergeCell ref="C15:C16"/>
    <mergeCell ref="D15:D16"/>
    <mergeCell ref="H15:H16"/>
    <mergeCell ref="I15:I16"/>
    <mergeCell ref="J15:J16"/>
    <mergeCell ref="A1:K1"/>
    <mergeCell ref="A2:K2"/>
    <mergeCell ref="A3:K3"/>
    <mergeCell ref="A5:A6"/>
    <mergeCell ref="K5:K6"/>
    <mergeCell ref="B7:B8"/>
    <mergeCell ref="C7:C8"/>
    <mergeCell ref="D7:D8"/>
    <mergeCell ref="H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7</vt:i4>
      </vt:variant>
    </vt:vector>
  </HeadingPairs>
  <TitlesOfParts>
    <vt:vector size="7" baseType="lpstr">
      <vt:lpstr>Company Stock </vt:lpstr>
      <vt:lpstr>Cumilla </vt:lpstr>
      <vt:lpstr>Mymensing </vt:lpstr>
      <vt:lpstr>Jessore </vt:lpstr>
      <vt:lpstr>Bogura</vt:lpstr>
      <vt:lpstr>Feni </vt:lpstr>
      <vt:lpstr>Cumilla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2026-06-29T10:43:19Z</dcterms:modified>
</cp:coreProperties>
</file>