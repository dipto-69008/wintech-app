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6E031335-9477-462F-AEFB-D816078B6737}" xr6:coauthVersionLast="47" xr6:coauthVersionMax="47" xr10:uidLastSave="{00000000-0000-0000-0000-000000000000}"/>
  <bookViews>
    <workbookView xWindow="-120" yWindow="-120" windowWidth="20730" windowHeight="11040" tabRatio="547" activeTab="5" xr2:uid="{00000000-000D-0000-FFFF-FFFF00000000}"/>
  </bookViews>
  <sheets>
    <sheet name="Company Stock " sheetId="1" r:id="rId1"/>
    <sheet name="Cumilla " sheetId="2" r:id="rId2"/>
    <sheet name="Mymensing " sheetId="3" r:id="rId3"/>
    <sheet name="Bogra" sheetId="4" r:id="rId4"/>
    <sheet name="Jessore " sheetId="5" r:id="rId5"/>
    <sheet name="Feni 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8" l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D40" i="1"/>
  <c r="H40" i="1" s="1"/>
  <c r="F31" i="5"/>
  <c r="J31" i="5" s="1"/>
  <c r="C33" i="8"/>
  <c r="B8" i="3" l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F31" i="4"/>
  <c r="J31" i="4" s="1"/>
  <c r="F31" i="3"/>
  <c r="J31" i="3" s="1"/>
  <c r="D32" i="1" s="1"/>
  <c r="F31" i="2"/>
  <c r="J31" i="2" s="1"/>
  <c r="C25" i="4" l="1"/>
  <c r="B10" i="4"/>
  <c r="F8" i="5" l="1"/>
  <c r="J8" i="5" s="1"/>
  <c r="F9" i="5"/>
  <c r="J9" i="5" s="1"/>
  <c r="F10" i="5"/>
  <c r="F11" i="5"/>
  <c r="F12" i="5"/>
  <c r="J12" i="5" s="1"/>
  <c r="F13" i="5"/>
  <c r="J13" i="5" s="1"/>
  <c r="F14" i="5"/>
  <c r="J14" i="5" s="1"/>
  <c r="F15" i="5"/>
  <c r="J15" i="5" s="1"/>
  <c r="F16" i="5"/>
  <c r="J16" i="5" s="1"/>
  <c r="F17" i="5"/>
  <c r="J17" i="5" s="1"/>
  <c r="F18" i="5"/>
  <c r="J18" i="5" s="1"/>
  <c r="F19" i="5"/>
  <c r="F20" i="5"/>
  <c r="J20" i="5" s="1"/>
  <c r="F21" i="5"/>
  <c r="J21" i="5" s="1"/>
  <c r="F22" i="5"/>
  <c r="J22" i="5" s="1"/>
  <c r="F23" i="5"/>
  <c r="J23" i="5" s="1"/>
  <c r="F24" i="5"/>
  <c r="J24" i="5" s="1"/>
  <c r="F25" i="5"/>
  <c r="J25" i="5" s="1"/>
  <c r="F26" i="5"/>
  <c r="J26" i="5" s="1"/>
  <c r="F27" i="5"/>
  <c r="J27" i="5" s="1"/>
  <c r="F28" i="5"/>
  <c r="J28" i="5" s="1"/>
  <c r="F29" i="5"/>
  <c r="J29" i="5" s="1"/>
  <c r="F30" i="5"/>
  <c r="J30" i="5" s="1"/>
  <c r="F32" i="5"/>
  <c r="J32" i="5" s="1"/>
  <c r="F33" i="5"/>
  <c r="J33" i="5" s="1"/>
  <c r="F34" i="5"/>
  <c r="J34" i="5" s="1"/>
  <c r="F35" i="5"/>
  <c r="J35" i="5" s="1"/>
  <c r="F36" i="5"/>
  <c r="J36" i="5" s="1"/>
  <c r="F37" i="5"/>
  <c r="J37" i="5" s="1"/>
  <c r="F38" i="5"/>
  <c r="J38" i="5" s="1"/>
  <c r="J10" i="5"/>
  <c r="J11" i="5"/>
  <c r="J19" i="5"/>
  <c r="F7" i="5"/>
  <c r="J7" i="5" s="1"/>
  <c r="F8" i="4"/>
  <c r="J8" i="4" s="1"/>
  <c r="F9" i="4"/>
  <c r="J9" i="4" s="1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/>
  <c r="J18" i="4" s="1"/>
  <c r="F19" i="4"/>
  <c r="J19" i="4" s="1"/>
  <c r="F20" i="4"/>
  <c r="J20" i="4" s="1"/>
  <c r="F21" i="4"/>
  <c r="J21" i="4" s="1"/>
  <c r="F22" i="4"/>
  <c r="J22" i="4" s="1"/>
  <c r="F23" i="4"/>
  <c r="J23" i="4" s="1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2" i="4"/>
  <c r="J32" i="4" s="1"/>
  <c r="F33" i="4"/>
  <c r="J33" i="4" s="1"/>
  <c r="F34" i="4"/>
  <c r="J34" i="4" s="1"/>
  <c r="F35" i="4"/>
  <c r="J35" i="4" s="1"/>
  <c r="F36" i="4"/>
  <c r="J36" i="4" s="1"/>
  <c r="F37" i="4"/>
  <c r="J37" i="4" s="1"/>
  <c r="F38" i="4"/>
  <c r="J38" i="4" s="1"/>
  <c r="F7" i="4"/>
  <c r="J7" i="4" s="1"/>
  <c r="F8" i="3"/>
  <c r="D9" i="1" s="1"/>
  <c r="F9" i="3"/>
  <c r="F10" i="3"/>
  <c r="D11" i="1" s="1"/>
  <c r="F11" i="3"/>
  <c r="F12" i="3"/>
  <c r="D13" i="1" s="1"/>
  <c r="F13" i="3"/>
  <c r="F14" i="3"/>
  <c r="D15" i="1" s="1"/>
  <c r="F15" i="3"/>
  <c r="D16" i="1" s="1"/>
  <c r="F16" i="3"/>
  <c r="J16" i="3" s="1"/>
  <c r="D17" i="1" s="1"/>
  <c r="F17" i="3"/>
  <c r="D18" i="1" s="1"/>
  <c r="F18" i="3"/>
  <c r="D19" i="1" s="1"/>
  <c r="F19" i="3"/>
  <c r="J19" i="3" s="1"/>
  <c r="D20" i="1" s="1"/>
  <c r="F20" i="3"/>
  <c r="J20" i="3" s="1"/>
  <c r="D21" i="1" s="1"/>
  <c r="F21" i="3"/>
  <c r="J21" i="3" s="1"/>
  <c r="D22" i="1" s="1"/>
  <c r="F22" i="3"/>
  <c r="J22" i="3" s="1"/>
  <c r="D23" i="1" s="1"/>
  <c r="F23" i="3"/>
  <c r="D24" i="1" s="1"/>
  <c r="F24" i="3"/>
  <c r="D25" i="1" s="1"/>
  <c r="F25" i="3"/>
  <c r="F26" i="3"/>
  <c r="D27" i="1" s="1"/>
  <c r="F27" i="3"/>
  <c r="J27" i="3" s="1"/>
  <c r="D28" i="1" s="1"/>
  <c r="F28" i="3"/>
  <c r="D29" i="1" s="1"/>
  <c r="F29" i="3"/>
  <c r="J29" i="3" s="1"/>
  <c r="D30" i="1" s="1"/>
  <c r="F30" i="3"/>
  <c r="J30" i="3" s="1"/>
  <c r="D31" i="1" s="1"/>
  <c r="F32" i="3"/>
  <c r="D33" i="1" s="1"/>
  <c r="F33" i="3"/>
  <c r="D34" i="1" s="1"/>
  <c r="F34" i="3"/>
  <c r="D35" i="1" s="1"/>
  <c r="F35" i="3"/>
  <c r="D36" i="1" s="1"/>
  <c r="F36" i="3"/>
  <c r="D37" i="1" s="1"/>
  <c r="F37" i="3"/>
  <c r="D38" i="1" s="1"/>
  <c r="F38" i="3"/>
  <c r="F8" i="8"/>
  <c r="F9" i="8"/>
  <c r="F10" i="8"/>
  <c r="F11" i="8"/>
  <c r="J11" i="8" s="1"/>
  <c r="F12" i="8"/>
  <c r="J12" i="8" s="1"/>
  <c r="F13" i="8"/>
  <c r="J13" i="8" s="1"/>
  <c r="F14" i="8"/>
  <c r="J14" i="8" s="1"/>
  <c r="F15" i="8"/>
  <c r="J15" i="8" s="1"/>
  <c r="F16" i="8"/>
  <c r="F17" i="8"/>
  <c r="F18" i="8"/>
  <c r="J18" i="8" s="1"/>
  <c r="F19" i="8"/>
  <c r="F20" i="8"/>
  <c r="J20" i="8" s="1"/>
  <c r="F21" i="8"/>
  <c r="J21" i="8" s="1"/>
  <c r="F22" i="8"/>
  <c r="J22" i="8" s="1"/>
  <c r="F23" i="8"/>
  <c r="J23" i="8" s="1"/>
  <c r="F24" i="8"/>
  <c r="J24" i="8" s="1"/>
  <c r="F25" i="8"/>
  <c r="F26" i="8"/>
  <c r="J26" i="8" s="1"/>
  <c r="F27" i="8"/>
  <c r="J27" i="8" s="1"/>
  <c r="F28" i="8"/>
  <c r="J28" i="8" s="1"/>
  <c r="F29" i="8"/>
  <c r="J29" i="8" s="1"/>
  <c r="F30" i="8"/>
  <c r="J30" i="8" s="1"/>
  <c r="F32" i="8"/>
  <c r="J32" i="8" s="1"/>
  <c r="F33" i="8"/>
  <c r="J33" i="8" s="1"/>
  <c r="F34" i="8"/>
  <c r="J34" i="8" s="1"/>
  <c r="F35" i="8"/>
  <c r="J35" i="8" s="1"/>
  <c r="F36" i="8"/>
  <c r="J36" i="8" s="1"/>
  <c r="F37" i="8"/>
  <c r="J37" i="8" s="1"/>
  <c r="F38" i="8"/>
  <c r="J38" i="8" s="1"/>
  <c r="J8" i="8"/>
  <c r="J9" i="8"/>
  <c r="J16" i="8"/>
  <c r="J17" i="8"/>
  <c r="J19" i="8"/>
  <c r="J25" i="8"/>
  <c r="F7" i="8"/>
  <c r="J7" i="8" s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F7" i="3"/>
  <c r="F8" i="2"/>
  <c r="J8" i="2" s="1"/>
  <c r="F9" i="2"/>
  <c r="J9" i="2" s="1"/>
  <c r="F10" i="2"/>
  <c r="J10" i="2" s="1"/>
  <c r="F11" i="2"/>
  <c r="J11" i="2" s="1"/>
  <c r="F12" i="2"/>
  <c r="J12" i="2" s="1"/>
  <c r="F13" i="2"/>
  <c r="J13" i="2" s="1"/>
  <c r="F14" i="2"/>
  <c r="J14" i="2" s="1"/>
  <c r="F15" i="2"/>
  <c r="J15" i="2" s="1"/>
  <c r="F16" i="2"/>
  <c r="J16" i="2" s="1"/>
  <c r="F17" i="2"/>
  <c r="J17" i="2" s="1"/>
  <c r="F18" i="2"/>
  <c r="J18" i="2" s="1"/>
  <c r="F19" i="2"/>
  <c r="J19" i="2" s="1"/>
  <c r="F20" i="2"/>
  <c r="J20" i="2" s="1"/>
  <c r="F21" i="2"/>
  <c r="J21" i="2" s="1"/>
  <c r="F22" i="2"/>
  <c r="J22" i="2" s="1"/>
  <c r="F23" i="2"/>
  <c r="J23" i="2" s="1"/>
  <c r="F24" i="2"/>
  <c r="J24" i="2" s="1"/>
  <c r="F25" i="2"/>
  <c r="J25" i="2" s="1"/>
  <c r="F26" i="2"/>
  <c r="J26" i="2" s="1"/>
  <c r="F27" i="2"/>
  <c r="J27" i="2" s="1"/>
  <c r="F28" i="2"/>
  <c r="J28" i="2" s="1"/>
  <c r="F29" i="2"/>
  <c r="J29" i="2" s="1"/>
  <c r="F30" i="2"/>
  <c r="J30" i="2" s="1"/>
  <c r="F32" i="2"/>
  <c r="J32" i="2" s="1"/>
  <c r="F33" i="2"/>
  <c r="J33" i="2" s="1"/>
  <c r="F34" i="2"/>
  <c r="J34" i="2" s="1"/>
  <c r="F35" i="2"/>
  <c r="J35" i="2" s="1"/>
  <c r="F36" i="2"/>
  <c r="J36" i="2" s="1"/>
  <c r="F37" i="2"/>
  <c r="J37" i="2" s="1"/>
  <c r="F38" i="2"/>
  <c r="J38" i="2" s="1"/>
  <c r="F7" i="2"/>
  <c r="J7" i="2" s="1"/>
  <c r="C8" i="1" s="1"/>
  <c r="C41" i="1" l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<sst xmlns="http://schemas.openxmlformats.org/spreadsheetml/2006/main" count="223" uniqueCount="78">
  <si>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</si>
  <si>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</si>
  <si>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</si>
  <si>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</si>
  <si>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</si>
  <si>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</si>
  <si>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</si>
  <si>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</si>
  <si>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</si>
  <si>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</si>
  <si>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</si>
  <si>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</si>
  <si>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</si>
  <si>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</si>
  <si>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</si>
  <si>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</si>
  <si>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</si>
  <si>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</si>
  <si>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</si>
  <si>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</si>
  <si>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</si>
  <si>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</si>
  <si>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</si>
  <si>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</si>
  <si>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</si>
  <si>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</si>
  <si>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</si>
  <si>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</si>
  <si>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</si>
  <si>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</si>
  <si>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</si>
  <si>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</si>
  <si>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</si>
  <si>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</si>
  <si>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</si>
  <si>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</si>
  <si>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</si>
  <si>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</si>
  <si>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</si>
  <si>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</si>
  <si>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</si>
  <si>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</si>
  <si>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</si>
  <si>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</si>
  <si>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</si>
  <si>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</si>
  <si>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</si>
  <si>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</si>
  <si>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</si>
  <si>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</si>
  <si>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</si>
  <si>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</si>
  <si>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</si>
  <si>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</si>
  <si>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</si>
  <si>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</si>
  <si>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</si>
  <si>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</si>
  <si>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</si>
  <si>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</si>
  <si>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</si>
  <si>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</si>
  <si>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</si>
  <si>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</si>
  <si>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</si>
  <si>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Bogra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</si>
  <si>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</si>
  <si>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</si>
  <si>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</si>
  <si>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</si>
  <si>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</si>
  <si>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</si>
  <si>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</si>
  <si>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</si>
  <si>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</si>
  <si>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</si>
  <si>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>Company Stock Report October -2025</t>
  </si>
  <si>
    <t>Month of October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</si>
</sst>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5" fontId="5" fillId="0" borderId="3" xfId="1" applyFont="1" applyBorder="1" applyAlignment="1">
      <alignment horizontal="right" vertical="center"/>
    </xf>
    <xf numFmtId="0" fontId="11" fillId="0" borderId="0" xfId="0" applyFont="1"/>
    <xf numFmtId="164" fontId="15" fillId="0" borderId="1" xfId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165" fontId="13" fillId="0" borderId="2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5" fillId="0" borderId="3" xfId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165" fontId="5" fillId="0" borderId="1" xfId="1" applyFont="1" applyFill="1" applyBorder="1" applyAlignment="1">
      <alignment horizontal="left" vertical="center"/>
    </xf>
    <xf numFmtId="165" fontId="5" fillId="0" borderId="1" xfId="1" applyFont="1" applyBorder="1" applyAlignment="1">
      <alignment horizontal="right" vertical="center"/>
    </xf>
    <xf numFmtId="164" fontId="2" fillId="0" borderId="1" xfId="1" applyNumberFormat="1" applyFont="1" applyBorder="1" applyAlignment="1">
      <alignment horizontal="left" vertical="center"/>
    </xf>
    <xf numFmtId="165" fontId="5" fillId="0" borderId="1" xfId="1" applyFont="1" applyFill="1" applyBorder="1" applyAlignment="1">
      <alignment horizontal="left" vertical="center" wrapText="1"/>
    </xf>
    <xf numFmtId="164" fontId="8" fillId="0" borderId="3" xfId="1" applyNumberFormat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4" xfId="1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5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8" fillId="0" borderId="2" xfId="1" applyFont="1" applyBorder="1" applyAlignment="1">
      <alignment horizontal="center" vertical="center"/>
    </xf>
    <xf numFmtId="165" fontId="8" fillId="0" borderId="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topLeftCell="A7" zoomScaleNormal="100" zoomScalePageLayoutView="85" workbookViewId="0">
      <selection activeCell="J12" sqref="J12"/>
    </sheetView>
  </sheetViews>
  <sheetFormatPr defaultRowHeight="15" x14ac:dyDescent="0.25"/>
  <cols>
    <col min="1" max="1" width="20.140625" style="25" customWidth="1"/>
    <col min="2" max="2" width="10" style="25" customWidth="1"/>
    <col min="3" max="3" width="9" style="25" customWidth="1"/>
    <col min="4" max="4" width="12.7109375" style="25" customWidth="1"/>
    <col min="5" max="5" width="9.28515625" style="25" customWidth="1"/>
    <col min="6" max="6" width="9.7109375" style="25" customWidth="1"/>
    <col min="7" max="7" width="8.28515625" style="25" customWidth="1"/>
    <col min="8" max="8" width="9.85546875" style="25" customWidth="1"/>
    <col min="9" max="9" width="8.85546875" style="25" customWidth="1"/>
    <col min="10" max="16384" width="9.140625" style="25"/>
  </cols>
  <sheetData>
    <row r="2" spans="1:11" ht="30" x14ac:dyDescent="0.25">
      <c r="A2" s="58" t="s">
        <v>12</v>
      </c>
      <c r="B2" s="58"/>
      <c r="C2" s="58"/>
      <c r="D2" s="58"/>
      <c r="E2" s="58"/>
      <c r="F2" s="58"/>
      <c r="G2" s="58"/>
      <c r="H2" s="58"/>
      <c r="I2" s="58"/>
      <c r="J2" s="24"/>
      <c r="K2" s="24"/>
    </row>
    <row r="3" spans="1:11" x14ac:dyDescent="0.25">
      <c r="A3" s="59" t="s">
        <v>75</v>
      </c>
      <c r="B3" s="59"/>
      <c r="C3" s="59"/>
      <c r="D3" s="59"/>
      <c r="E3" s="59"/>
      <c r="F3" s="59"/>
      <c r="G3" s="59"/>
      <c r="H3" s="59"/>
      <c r="I3" s="59"/>
      <c r="J3" s="24"/>
      <c r="K3" s="24"/>
    </row>
    <row r="4" spans="1:11" ht="24" customHeight="1" x14ac:dyDescent="0.25">
      <c r="A4" s="60" t="s">
        <v>76</v>
      </c>
      <c r="B4" s="60"/>
      <c r="C4" s="60"/>
      <c r="D4" s="60"/>
      <c r="E4" s="60"/>
      <c r="F4" s="60"/>
      <c r="G4" s="60"/>
      <c r="H4" s="60"/>
      <c r="I4" s="60"/>
      <c r="J4" s="24"/>
      <c r="K4" s="24"/>
    </row>
    <row r="5" spans="1:11" s="48" customFormat="1" ht="11.25" x14ac:dyDescent="0.25">
      <c r="A5" s="46"/>
      <c r="B5" s="46"/>
      <c r="C5" s="46"/>
      <c r="D5" s="46"/>
      <c r="E5" s="46"/>
      <c r="F5" s="46"/>
      <c r="G5" s="46"/>
      <c r="H5" s="46"/>
      <c r="I5" s="46"/>
      <c r="J5" s="47"/>
      <c r="K5" s="47"/>
    </row>
    <row r="6" spans="1:11" s="32" customFormat="1" ht="15.75" x14ac:dyDescent="0.25">
      <c r="A6" s="33" t="s">
        <v>0</v>
      </c>
      <c r="B6" s="33" t="s">
        <v>1</v>
      </c>
      <c r="C6" s="34" t="s">
        <v>67</v>
      </c>
      <c r="D6" s="49" t="s">
        <v>2</v>
      </c>
      <c r="E6" s="33" t="s">
        <v>3</v>
      </c>
      <c r="F6" s="33" t="s">
        <v>4</v>
      </c>
      <c r="G6" s="33" t="s">
        <v>5</v>
      </c>
      <c r="H6" s="33" t="s">
        <v>6</v>
      </c>
      <c r="I6" s="61" t="s">
        <v>26</v>
      </c>
      <c r="J6" s="1"/>
      <c r="K6" s="1"/>
    </row>
    <row r="7" spans="1:11" s="32" customFormat="1" ht="15.75" x14ac:dyDescent="0.25">
      <c r="A7" s="35" t="s">
        <v>68</v>
      </c>
      <c r="B7" s="35" t="s">
        <v>7</v>
      </c>
      <c r="C7" s="35" t="s">
        <v>8</v>
      </c>
      <c r="D7" s="35" t="s">
        <v>8</v>
      </c>
      <c r="E7" s="35" t="s">
        <v>8</v>
      </c>
      <c r="F7" s="35" t="s">
        <v>8</v>
      </c>
      <c r="G7" s="35" t="s">
        <v>8</v>
      </c>
      <c r="H7" s="35" t="s">
        <v>9</v>
      </c>
      <c r="I7" s="62"/>
      <c r="J7" s="1"/>
      <c r="K7" s="1"/>
    </row>
    <row r="8" spans="1:11" s="38" customFormat="1" ht="18" customHeight="1" x14ac:dyDescent="0.25">
      <c r="A8" s="36" t="s">
        <v>31</v>
      </c>
      <c r="B8" s="21" t="s">
        <v>32</v>
      </c>
      <c r="C8" s="43">
        <f>'Cumilla '!J7</f>
        <v>180</v>
      </c>
      <c r="D8" s="43">
        <f>'Mymensing '!J7</f>
        <v>531</v>
      </c>
      <c r="E8" s="43">
        <f>Bogra!J7</f>
        <v>110</v>
      </c>
      <c r="F8" s="43">
        <f>'Jessore '!J7</f>
        <v>0</v>
      </c>
      <c r="G8" s="43">
        <f>'Feni '!J7</f>
        <v>0</v>
      </c>
      <c r="H8" s="43">
        <f t="shared" ref="H8:H40" si="0">SUM(C8:G8)</f>
        <v>821</v>
      </c>
      <c r="I8" s="37"/>
      <c r="J8" s="24"/>
      <c r="K8" s="24"/>
    </row>
    <row r="9" spans="1:11" s="38" customFormat="1" ht="18" customHeight="1" x14ac:dyDescent="0.25">
      <c r="A9" s="39" t="s">
        <v>31</v>
      </c>
      <c r="B9" s="40" t="s">
        <v>10</v>
      </c>
      <c r="C9" s="43">
        <f>'Cumilla '!J8</f>
        <v>130</v>
      </c>
      <c r="D9" s="43">
        <f>'Mymensing '!J8</f>
        <v>295</v>
      </c>
      <c r="E9" s="43">
        <f>Bogra!J8</f>
        <v>48</v>
      </c>
      <c r="F9" s="43">
        <f>'Jessore '!J8</f>
        <v>150</v>
      </c>
      <c r="G9" s="43">
        <f>'Feni '!J8</f>
        <v>80</v>
      </c>
      <c r="H9" s="45">
        <f t="shared" si="0"/>
        <v>703</v>
      </c>
      <c r="I9" s="37"/>
      <c r="J9" s="24"/>
      <c r="K9" s="24"/>
    </row>
    <row r="10" spans="1:11" s="38" customFormat="1" ht="18" customHeight="1" x14ac:dyDescent="0.25">
      <c r="A10" s="39" t="s">
        <v>33</v>
      </c>
      <c r="B10" s="40" t="s">
        <v>10</v>
      </c>
      <c r="C10" s="43">
        <f>'Cumilla '!J9</f>
        <v>4595</v>
      </c>
      <c r="D10" s="43">
        <f>'Mymensing '!J9</f>
        <v>421</v>
      </c>
      <c r="E10" s="43">
        <f>Bogra!J9</f>
        <v>119</v>
      </c>
      <c r="F10" s="43">
        <f>'Jessore '!J9</f>
        <v>147</v>
      </c>
      <c r="G10" s="43">
        <f>'Feni '!J9</f>
        <v>80</v>
      </c>
      <c r="H10" s="44">
        <f t="shared" si="0"/>
        <v>5362</v>
      </c>
      <c r="I10" s="37"/>
      <c r="J10" s="24"/>
      <c r="K10" s="24"/>
    </row>
    <row r="11" spans="1:11" s="38" customFormat="1" ht="18" customHeight="1" x14ac:dyDescent="0.25">
      <c r="A11" s="39" t="s">
        <v>34</v>
      </c>
      <c r="B11" s="40" t="s">
        <v>11</v>
      </c>
      <c r="C11" s="43">
        <f>'Cumilla '!J10</f>
        <v>54</v>
      </c>
      <c r="D11" s="43">
        <f>'Mymensing '!J10</f>
        <v>185</v>
      </c>
      <c r="E11" s="43">
        <f>Bogra!J10</f>
        <v>36</v>
      </c>
      <c r="F11" s="43">
        <f>'Jessore '!J10</f>
        <v>101</v>
      </c>
      <c r="G11" s="43">
        <f>'Feni '!J10</f>
        <v>36</v>
      </c>
      <c r="H11" s="44">
        <f t="shared" si="0"/>
        <v>412</v>
      </c>
      <c r="I11" s="37"/>
      <c r="J11" s="24"/>
      <c r="K11" s="24"/>
    </row>
    <row r="12" spans="1:11" s="38" customFormat="1" ht="18" customHeight="1" x14ac:dyDescent="0.25">
      <c r="A12" s="39" t="s">
        <v>35</v>
      </c>
      <c r="B12" s="40" t="s">
        <v>36</v>
      </c>
      <c r="C12" s="43">
        <f>'Cumilla '!J11</f>
        <v>2936</v>
      </c>
      <c r="D12" s="43">
        <f>'Mymensing '!J11</f>
        <v>656</v>
      </c>
      <c r="E12" s="43">
        <f>Bogra!J11</f>
        <v>103</v>
      </c>
      <c r="F12" s="43">
        <f>'Jessore '!J11</f>
        <v>124</v>
      </c>
      <c r="G12" s="43">
        <f>'Feni '!J11</f>
        <v>0</v>
      </c>
      <c r="H12" s="44">
        <f t="shared" si="0"/>
        <v>3819</v>
      </c>
      <c r="I12" s="37"/>
      <c r="J12" s="24"/>
      <c r="K12" s="24"/>
    </row>
    <row r="13" spans="1:11" s="38" customFormat="1" ht="18" customHeight="1" x14ac:dyDescent="0.25">
      <c r="A13" s="39" t="s">
        <v>35</v>
      </c>
      <c r="B13" s="40" t="s">
        <v>37</v>
      </c>
      <c r="C13" s="43">
        <f>'Cumilla '!J12</f>
        <v>1119</v>
      </c>
      <c r="D13" s="43">
        <f>'Mymensing '!J12</f>
        <v>208</v>
      </c>
      <c r="E13" s="43">
        <f>Bogra!J12</f>
        <v>74</v>
      </c>
      <c r="F13" s="43">
        <f>'Jessore '!J12</f>
        <v>294</v>
      </c>
      <c r="G13" s="43">
        <f>'Feni '!J12</f>
        <v>108</v>
      </c>
      <c r="H13" s="44">
        <f t="shared" si="0"/>
        <v>1803</v>
      </c>
      <c r="I13" s="37"/>
      <c r="J13" s="24"/>
      <c r="K13" s="24"/>
    </row>
    <row r="14" spans="1:11" s="38" customFormat="1" ht="18" customHeight="1" x14ac:dyDescent="0.25">
      <c r="A14" s="39" t="s">
        <v>38</v>
      </c>
      <c r="B14" s="40" t="s">
        <v>32</v>
      </c>
      <c r="C14" s="43">
        <f>'Cumilla '!J13</f>
        <v>2076</v>
      </c>
      <c r="D14" s="43">
        <f>'Mymensing '!J13</f>
        <v>605</v>
      </c>
      <c r="E14" s="43">
        <f>Bogra!J13</f>
        <v>108</v>
      </c>
      <c r="F14" s="43">
        <f>'Jessore '!J13</f>
        <v>64</v>
      </c>
      <c r="G14" s="43">
        <f>'Feni '!J13</f>
        <v>70</v>
      </c>
      <c r="H14" s="44">
        <f t="shared" si="0"/>
        <v>2923</v>
      </c>
      <c r="I14" s="37"/>
      <c r="J14" s="24"/>
      <c r="K14" s="24"/>
    </row>
    <row r="15" spans="1:11" s="38" customFormat="1" ht="18" customHeight="1" x14ac:dyDescent="0.25">
      <c r="A15" s="39" t="s">
        <v>38</v>
      </c>
      <c r="B15" s="40" t="s">
        <v>39</v>
      </c>
      <c r="C15" s="43">
        <f>'Cumilla '!J14</f>
        <v>938</v>
      </c>
      <c r="D15" s="43">
        <f>'Mymensing '!J14</f>
        <v>260</v>
      </c>
      <c r="E15" s="43">
        <f>Bogra!J14</f>
        <v>26</v>
      </c>
      <c r="F15" s="43">
        <f>'Jessore '!J14</f>
        <v>103</v>
      </c>
      <c r="G15" s="43">
        <f>'Feni '!J14</f>
        <v>151</v>
      </c>
      <c r="H15" s="44">
        <f t="shared" si="0"/>
        <v>1478</v>
      </c>
      <c r="I15" s="37"/>
      <c r="J15" s="24"/>
      <c r="K15" s="24"/>
    </row>
    <row r="16" spans="1:11" s="38" customFormat="1" ht="18" customHeight="1" x14ac:dyDescent="0.25">
      <c r="A16" s="39" t="s">
        <v>40</v>
      </c>
      <c r="B16" s="40" t="s">
        <v>39</v>
      </c>
      <c r="C16" s="43">
        <f>'Cumilla '!J15</f>
        <v>515</v>
      </c>
      <c r="D16" s="43">
        <f>'Mymensing '!J15</f>
        <v>177</v>
      </c>
      <c r="E16" s="43">
        <f>Bogra!J15</f>
        <v>34</v>
      </c>
      <c r="F16" s="43">
        <f>'Jessore '!J15</f>
        <v>32</v>
      </c>
      <c r="G16" s="43">
        <f>'Feni '!J15</f>
        <v>48</v>
      </c>
      <c r="H16" s="44">
        <f t="shared" si="0"/>
        <v>806</v>
      </c>
      <c r="I16" s="37"/>
      <c r="J16" s="24"/>
      <c r="K16" s="24"/>
    </row>
    <row r="17" spans="1:11" s="38" customFormat="1" ht="18" customHeight="1" x14ac:dyDescent="0.25">
      <c r="A17" s="39" t="s">
        <v>41</v>
      </c>
      <c r="B17" s="40" t="s">
        <v>42</v>
      </c>
      <c r="C17" s="43">
        <f>'Cumilla '!J16</f>
        <v>81</v>
      </c>
      <c r="D17" s="43">
        <f>'Mymensing '!J16</f>
        <v>810</v>
      </c>
      <c r="E17" s="43">
        <f>Bogra!J16</f>
        <v>88</v>
      </c>
      <c r="F17" s="43">
        <f>'Jessore '!J16</f>
        <v>19</v>
      </c>
      <c r="G17" s="43">
        <f>'Feni '!J16</f>
        <v>35</v>
      </c>
      <c r="H17" s="44">
        <f t="shared" si="0"/>
        <v>1033</v>
      </c>
      <c r="I17" s="37"/>
      <c r="J17" s="24"/>
      <c r="K17" s="24"/>
    </row>
    <row r="18" spans="1:11" s="38" customFormat="1" ht="18" customHeight="1" x14ac:dyDescent="0.25">
      <c r="A18" s="39" t="s">
        <v>43</v>
      </c>
      <c r="B18" s="40" t="s">
        <v>42</v>
      </c>
      <c r="C18" s="43">
        <f>'Cumilla '!J17</f>
        <v>658</v>
      </c>
      <c r="D18" s="43">
        <f>'Mymensing '!J17</f>
        <v>207</v>
      </c>
      <c r="E18" s="43">
        <f>Bogra!J17</f>
        <v>126</v>
      </c>
      <c r="F18" s="43">
        <f>'Jessore '!J17</f>
        <v>66</v>
      </c>
      <c r="G18" s="43">
        <f>'Feni '!J17</f>
        <v>120</v>
      </c>
      <c r="H18" s="44">
        <f t="shared" si="0"/>
        <v>1177</v>
      </c>
      <c r="I18" s="37"/>
      <c r="J18" s="24"/>
      <c r="K18" s="24"/>
    </row>
    <row r="19" spans="1:11" s="38" customFormat="1" ht="18" customHeight="1" x14ac:dyDescent="0.25">
      <c r="A19" s="39" t="s">
        <v>44</v>
      </c>
      <c r="B19" s="40" t="s">
        <v>39</v>
      </c>
      <c r="C19" s="43">
        <f>'Cumilla '!J18</f>
        <v>131</v>
      </c>
      <c r="D19" s="43">
        <f>'Mymensing '!J18</f>
        <v>485</v>
      </c>
      <c r="E19" s="43">
        <f>Bogra!J18</f>
        <v>48</v>
      </c>
      <c r="F19" s="43">
        <f>'Jessore '!J18</f>
        <v>192</v>
      </c>
      <c r="G19" s="43">
        <f>'Feni '!J18</f>
        <v>96</v>
      </c>
      <c r="H19" s="44">
        <f t="shared" si="0"/>
        <v>952</v>
      </c>
      <c r="I19" s="37"/>
      <c r="J19" s="24"/>
      <c r="K19" s="24"/>
    </row>
    <row r="20" spans="1:11" s="38" customFormat="1" ht="18" customHeight="1" x14ac:dyDescent="0.25">
      <c r="A20" s="42" t="s">
        <v>45</v>
      </c>
      <c r="B20" s="40" t="s">
        <v>36</v>
      </c>
      <c r="C20" s="43">
        <f>'Cumilla '!J19</f>
        <v>0</v>
      </c>
      <c r="D20" s="43">
        <f>'Mymensing '!J19</f>
        <v>0</v>
      </c>
      <c r="E20" s="43">
        <f>Bogra!J19</f>
        <v>0</v>
      </c>
      <c r="F20" s="43">
        <f>'Jessore '!J19</f>
        <v>0</v>
      </c>
      <c r="G20" s="43">
        <f>'Feni '!J19</f>
        <v>0</v>
      </c>
      <c r="H20" s="44">
        <f t="shared" si="0"/>
        <v>0</v>
      </c>
      <c r="I20" s="37"/>
      <c r="J20" s="24"/>
      <c r="K20" s="24"/>
    </row>
    <row r="21" spans="1:11" s="38" customFormat="1" ht="18" customHeight="1" x14ac:dyDescent="0.25">
      <c r="A21" s="42" t="s">
        <v>45</v>
      </c>
      <c r="B21" s="40" t="s">
        <v>37</v>
      </c>
      <c r="C21" s="43">
        <f>'Cumilla '!J20</f>
        <v>9</v>
      </c>
      <c r="D21" s="43">
        <f>'Mymensing '!J20</f>
        <v>6</v>
      </c>
      <c r="E21" s="43">
        <f>Bogra!J20</f>
        <v>0</v>
      </c>
      <c r="F21" s="43">
        <f>'Jessore '!J20</f>
        <v>0</v>
      </c>
      <c r="G21" s="43">
        <f>'Feni '!J20</f>
        <v>0</v>
      </c>
      <c r="H21" s="44">
        <f t="shared" si="0"/>
        <v>15</v>
      </c>
      <c r="I21" s="37"/>
      <c r="J21" s="24"/>
      <c r="K21" s="24"/>
    </row>
    <row r="22" spans="1:11" s="38" customFormat="1" ht="18" customHeight="1" x14ac:dyDescent="0.25">
      <c r="A22" s="42" t="s">
        <v>46</v>
      </c>
      <c r="B22" s="40" t="s">
        <v>32</v>
      </c>
      <c r="C22" s="43">
        <f>'Cumilla '!J21</f>
        <v>1</v>
      </c>
      <c r="D22" s="43">
        <f>'Mymensing '!J21</f>
        <v>40</v>
      </c>
      <c r="E22" s="43">
        <f>Bogra!J21</f>
        <v>0</v>
      </c>
      <c r="F22" s="43">
        <f>'Jessore '!J21</f>
        <v>39</v>
      </c>
      <c r="G22" s="43">
        <f>'Feni '!J21</f>
        <v>0</v>
      </c>
      <c r="H22" s="44">
        <f t="shared" si="0"/>
        <v>80</v>
      </c>
      <c r="I22" s="37"/>
      <c r="J22" s="24"/>
      <c r="K22" s="24"/>
    </row>
    <row r="23" spans="1:11" s="38" customFormat="1" ht="18" customHeight="1" x14ac:dyDescent="0.25">
      <c r="A23" s="42" t="s">
        <v>47</v>
      </c>
      <c r="B23" s="40" t="s">
        <v>10</v>
      </c>
      <c r="C23" s="43">
        <f>'Cumilla '!J22</f>
        <v>126</v>
      </c>
      <c r="D23" s="43">
        <f>'Mymensing '!J22</f>
        <v>0</v>
      </c>
      <c r="E23" s="43">
        <f>Bogra!J22</f>
        <v>68</v>
      </c>
      <c r="F23" s="43">
        <f>'Jessore '!J22</f>
        <v>0</v>
      </c>
      <c r="G23" s="43">
        <f>'Feni '!J22</f>
        <v>0</v>
      </c>
      <c r="H23" s="44">
        <f t="shared" si="0"/>
        <v>194</v>
      </c>
      <c r="I23" s="37"/>
      <c r="J23" s="24"/>
      <c r="K23" s="24"/>
    </row>
    <row r="24" spans="1:11" s="38" customFormat="1" ht="18" customHeight="1" x14ac:dyDescent="0.25">
      <c r="A24" s="39" t="s">
        <v>48</v>
      </c>
      <c r="B24" s="40" t="s">
        <v>37</v>
      </c>
      <c r="C24" s="43">
        <f>'Cumilla '!J23</f>
        <v>124</v>
      </c>
      <c r="D24" s="43">
        <f>'Mymensing '!J23</f>
        <v>98</v>
      </c>
      <c r="E24" s="43">
        <f>Bogra!J23</f>
        <v>0</v>
      </c>
      <c r="F24" s="43">
        <f>'Jessore '!J23</f>
        <v>128</v>
      </c>
      <c r="G24" s="43">
        <f>'Feni '!J23</f>
        <v>83</v>
      </c>
      <c r="H24" s="44">
        <f t="shared" si="0"/>
        <v>433</v>
      </c>
      <c r="I24" s="37"/>
      <c r="J24" s="24"/>
      <c r="K24" s="24"/>
    </row>
    <row r="25" spans="1:11" s="38" customFormat="1" ht="18" customHeight="1" x14ac:dyDescent="0.25">
      <c r="A25" s="39" t="s">
        <v>69</v>
      </c>
      <c r="B25" s="40" t="s">
        <v>42</v>
      </c>
      <c r="C25" s="43">
        <f>'Cumilla '!J24</f>
        <v>243</v>
      </c>
      <c r="D25" s="43">
        <f>'Mymensing '!J24</f>
        <v>162</v>
      </c>
      <c r="E25" s="43">
        <f>Bogra!J24</f>
        <v>14</v>
      </c>
      <c r="F25" s="43">
        <f>'Jessore '!J24</f>
        <v>30</v>
      </c>
      <c r="G25" s="43">
        <f>'Feni '!J24</f>
        <v>40</v>
      </c>
      <c r="H25" s="44">
        <f t="shared" si="0"/>
        <v>489</v>
      </c>
      <c r="I25" s="37"/>
      <c r="J25" s="24"/>
      <c r="K25" s="24"/>
    </row>
    <row r="26" spans="1:11" s="38" customFormat="1" ht="18" customHeight="1" x14ac:dyDescent="0.25">
      <c r="A26" s="39" t="s">
        <v>70</v>
      </c>
      <c r="B26" s="40" t="s">
        <v>42</v>
      </c>
      <c r="C26" s="43">
        <f>'Cumilla '!J25</f>
        <v>4453</v>
      </c>
      <c r="D26" s="43">
        <f>'Mymensing '!J25</f>
        <v>271</v>
      </c>
      <c r="E26" s="43">
        <f>Bogra!J25</f>
        <v>14</v>
      </c>
      <c r="F26" s="43">
        <f>'Jessore '!J25</f>
        <v>86.5</v>
      </c>
      <c r="G26" s="43">
        <f>'Feni '!J25</f>
        <v>30</v>
      </c>
      <c r="H26" s="44">
        <f t="shared" si="0"/>
        <v>4854.5</v>
      </c>
      <c r="I26" s="37"/>
      <c r="J26" s="24"/>
      <c r="K26" s="24"/>
    </row>
    <row r="27" spans="1:11" s="38" customFormat="1" ht="18" customHeight="1" x14ac:dyDescent="0.25">
      <c r="A27" s="39" t="s">
        <v>49</v>
      </c>
      <c r="B27" s="40" t="s">
        <v>36</v>
      </c>
      <c r="C27" s="43">
        <f>'Cumilla '!J26</f>
        <v>1795</v>
      </c>
      <c r="D27" s="43">
        <f>'Mymensing '!J26</f>
        <v>294</v>
      </c>
      <c r="E27" s="43">
        <f>Bogra!J26</f>
        <v>80</v>
      </c>
      <c r="F27" s="43">
        <f>'Jessore '!J26</f>
        <v>134</v>
      </c>
      <c r="G27" s="43">
        <f>'Feni '!J26</f>
        <v>80</v>
      </c>
      <c r="H27" s="44">
        <f t="shared" si="0"/>
        <v>2383</v>
      </c>
      <c r="I27" s="37"/>
      <c r="J27" s="24"/>
      <c r="K27" s="24"/>
    </row>
    <row r="28" spans="1:11" s="38" customFormat="1" ht="18" customHeight="1" x14ac:dyDescent="0.25">
      <c r="A28" s="39" t="s">
        <v>49</v>
      </c>
      <c r="B28" s="40" t="s">
        <v>37</v>
      </c>
      <c r="C28" s="43">
        <f>'Cumilla '!J27</f>
        <v>382</v>
      </c>
      <c r="D28" s="43">
        <f>'Mymensing '!J27</f>
        <v>55</v>
      </c>
      <c r="E28" s="43">
        <f>Bogra!J27</f>
        <v>42</v>
      </c>
      <c r="F28" s="43">
        <f>'Jessore '!J27</f>
        <v>195</v>
      </c>
      <c r="G28" s="43">
        <f>'Feni '!J27</f>
        <v>59</v>
      </c>
      <c r="H28" s="44">
        <f t="shared" si="0"/>
        <v>733</v>
      </c>
      <c r="I28" s="37"/>
      <c r="J28" s="24"/>
      <c r="K28" s="24"/>
    </row>
    <row r="29" spans="1:11" s="38" customFormat="1" ht="18" customHeight="1" x14ac:dyDescent="0.25">
      <c r="A29" s="39" t="s">
        <v>50</v>
      </c>
      <c r="B29" s="40" t="s">
        <v>39</v>
      </c>
      <c r="C29" s="43">
        <f>'Cumilla '!J28</f>
        <v>0</v>
      </c>
      <c r="D29" s="43">
        <f>'Mymensing '!J28</f>
        <v>102</v>
      </c>
      <c r="E29" s="43">
        <f>Bogra!J28</f>
        <v>0</v>
      </c>
      <c r="F29" s="43">
        <f>'Jessore '!J28</f>
        <v>37</v>
      </c>
      <c r="G29" s="43">
        <f>'Feni '!J28</f>
        <v>10</v>
      </c>
      <c r="H29" s="44">
        <f t="shared" si="0"/>
        <v>149</v>
      </c>
      <c r="I29" s="37"/>
      <c r="J29" s="24"/>
      <c r="K29" s="24"/>
    </row>
    <row r="30" spans="1:11" s="38" customFormat="1" ht="18" customHeight="1" x14ac:dyDescent="0.25">
      <c r="A30" s="39" t="s">
        <v>51</v>
      </c>
      <c r="B30" s="40" t="s">
        <v>39</v>
      </c>
      <c r="C30" s="43">
        <f>'Cumilla '!J29</f>
        <v>112</v>
      </c>
      <c r="D30" s="43">
        <f>'Mymensing '!J29</f>
        <v>40</v>
      </c>
      <c r="E30" s="43">
        <f>Bogra!J29</f>
        <v>97</v>
      </c>
      <c r="F30" s="43">
        <f>'Jessore '!J29</f>
        <v>87</v>
      </c>
      <c r="G30" s="43">
        <f>'Feni '!J29</f>
        <v>64</v>
      </c>
      <c r="H30" s="44">
        <f t="shared" si="0"/>
        <v>400</v>
      </c>
      <c r="I30" s="37"/>
      <c r="J30" s="24"/>
      <c r="K30" s="24"/>
    </row>
    <row r="31" spans="1:11" s="38" customFormat="1" ht="18" customHeight="1" x14ac:dyDescent="0.25">
      <c r="A31" s="39" t="s">
        <v>52</v>
      </c>
      <c r="B31" s="40" t="s">
        <v>32</v>
      </c>
      <c r="C31" s="43">
        <f>'Cumilla '!J30</f>
        <v>465</v>
      </c>
      <c r="D31" s="43">
        <f>'Mymensing '!J30</f>
        <v>0</v>
      </c>
      <c r="E31" s="43">
        <f>Bogra!J30</f>
        <v>0</v>
      </c>
      <c r="F31" s="43">
        <f>'Jessore '!J30</f>
        <v>0</v>
      </c>
      <c r="G31" s="43">
        <f>'Feni '!J30</f>
        <v>0</v>
      </c>
      <c r="H31" s="44">
        <f t="shared" si="0"/>
        <v>465</v>
      </c>
      <c r="I31" s="37"/>
      <c r="J31" s="24"/>
      <c r="K31" s="24"/>
    </row>
    <row r="32" spans="1:11" s="38" customFormat="1" ht="18" customHeight="1" x14ac:dyDescent="0.25">
      <c r="A32" s="39" t="s">
        <v>52</v>
      </c>
      <c r="B32" s="40" t="s">
        <v>39</v>
      </c>
      <c r="C32" s="43">
        <f>'Cumilla '!J31</f>
        <v>0</v>
      </c>
      <c r="D32" s="43">
        <f>'Mymensing '!J31</f>
        <v>0</v>
      </c>
      <c r="E32" s="43">
        <f>Bogra!J31</f>
        <v>0</v>
      </c>
      <c r="F32" s="43">
        <f>'Jessore '!J31</f>
        <v>0</v>
      </c>
      <c r="G32" s="43">
        <f>'Feni '!J31</f>
        <v>0</v>
      </c>
      <c r="H32" s="44">
        <f t="shared" si="0"/>
        <v>0</v>
      </c>
      <c r="I32" s="37"/>
      <c r="J32" s="24"/>
      <c r="K32" s="24"/>
    </row>
    <row r="33" spans="1:11" s="38" customFormat="1" ht="18" customHeight="1" x14ac:dyDescent="0.25">
      <c r="A33" s="39" t="s">
        <v>53</v>
      </c>
      <c r="B33" s="40" t="s">
        <v>37</v>
      </c>
      <c r="C33" s="43">
        <f>'Cumilla '!J32</f>
        <v>856</v>
      </c>
      <c r="D33" s="43">
        <f>'Mymensing '!J32</f>
        <v>69</v>
      </c>
      <c r="E33" s="43">
        <f>Bogra!J32</f>
        <v>33</v>
      </c>
      <c r="F33" s="43">
        <f>'Jessore '!J32</f>
        <v>49</v>
      </c>
      <c r="G33" s="43">
        <f>'Feni '!J32</f>
        <v>23</v>
      </c>
      <c r="H33" s="44">
        <f t="shared" si="0"/>
        <v>1030</v>
      </c>
      <c r="I33" s="37"/>
      <c r="J33" s="24"/>
      <c r="K33" s="24"/>
    </row>
    <row r="34" spans="1:11" s="38" customFormat="1" ht="18" customHeight="1" x14ac:dyDescent="0.25">
      <c r="A34" s="39" t="s">
        <v>54</v>
      </c>
      <c r="B34" s="40" t="s">
        <v>55</v>
      </c>
      <c r="C34" s="43">
        <f>'Cumilla '!J33</f>
        <v>412</v>
      </c>
      <c r="D34" s="43">
        <f>'Mymensing '!J33</f>
        <v>888</v>
      </c>
      <c r="E34" s="43">
        <f>Bogra!J33</f>
        <v>322</v>
      </c>
      <c r="F34" s="43">
        <f>'Jessore '!J33</f>
        <v>91</v>
      </c>
      <c r="G34" s="43">
        <f>'Feni '!J33</f>
        <v>103</v>
      </c>
      <c r="H34" s="44">
        <f t="shared" si="0"/>
        <v>1816</v>
      </c>
      <c r="I34" s="37"/>
      <c r="J34" s="24"/>
      <c r="K34" s="24"/>
    </row>
    <row r="35" spans="1:11" s="38" customFormat="1" ht="18" customHeight="1" x14ac:dyDescent="0.25">
      <c r="A35" s="39" t="s">
        <v>54</v>
      </c>
      <c r="B35" s="40" t="s">
        <v>56</v>
      </c>
      <c r="C35" s="43">
        <f>'Cumilla '!J34</f>
        <v>68</v>
      </c>
      <c r="D35" s="43">
        <f>'Mymensing '!J34</f>
        <v>102</v>
      </c>
      <c r="E35" s="43">
        <f>Bogra!J34</f>
        <v>55</v>
      </c>
      <c r="F35" s="43">
        <f>'Jessore '!J34</f>
        <v>215</v>
      </c>
      <c r="G35" s="43">
        <f>'Feni '!J34</f>
        <v>265</v>
      </c>
      <c r="H35" s="44">
        <f t="shared" si="0"/>
        <v>705</v>
      </c>
      <c r="I35" s="37"/>
      <c r="J35" s="24"/>
      <c r="K35" s="24"/>
    </row>
    <row r="36" spans="1:11" s="38" customFormat="1" ht="18" customHeight="1" x14ac:dyDescent="0.25">
      <c r="A36" s="39" t="s">
        <v>57</v>
      </c>
      <c r="B36" s="40" t="s">
        <v>32</v>
      </c>
      <c r="C36" s="43">
        <f>'Cumilla '!J35</f>
        <v>536</v>
      </c>
      <c r="D36" s="43">
        <f>'Mymensing '!J35</f>
        <v>726</v>
      </c>
      <c r="E36" s="43">
        <f>Bogra!J35</f>
        <v>52</v>
      </c>
      <c r="F36" s="43">
        <f>'Jessore '!J35</f>
        <v>94</v>
      </c>
      <c r="G36" s="43">
        <f>'Feni '!J35</f>
        <v>199</v>
      </c>
      <c r="H36" s="44">
        <f t="shared" si="0"/>
        <v>1607</v>
      </c>
      <c r="I36" s="37"/>
      <c r="J36" s="24"/>
      <c r="K36" s="24"/>
    </row>
    <row r="37" spans="1:11" s="38" customFormat="1" ht="18" customHeight="1" x14ac:dyDescent="0.25">
      <c r="A37" s="39" t="s">
        <v>57</v>
      </c>
      <c r="B37" s="40" t="s">
        <v>58</v>
      </c>
      <c r="C37" s="43">
        <f>'Cumilla '!J36</f>
        <v>2147</v>
      </c>
      <c r="D37" s="43">
        <f>'Mymensing '!J36</f>
        <v>614</v>
      </c>
      <c r="E37" s="43">
        <f>Bogra!J36</f>
        <v>71</v>
      </c>
      <c r="F37" s="43">
        <f>'Jessore '!J36</f>
        <v>130</v>
      </c>
      <c r="G37" s="43">
        <f>'Feni '!J36</f>
        <v>205</v>
      </c>
      <c r="H37" s="44">
        <f t="shared" si="0"/>
        <v>3167</v>
      </c>
      <c r="I37" s="37"/>
      <c r="J37" s="24"/>
      <c r="K37" s="24"/>
    </row>
    <row r="38" spans="1:11" s="38" customFormat="1" ht="18" customHeight="1" x14ac:dyDescent="0.25">
      <c r="A38" s="39" t="s">
        <v>59</v>
      </c>
      <c r="B38" s="40" t="s">
        <v>36</v>
      </c>
      <c r="C38" s="43">
        <f>'Cumilla '!J37</f>
        <v>15</v>
      </c>
      <c r="D38" s="43">
        <f>'Mymensing '!J37</f>
        <v>633</v>
      </c>
      <c r="E38" s="43">
        <f>Bogra!J37</f>
        <v>89</v>
      </c>
      <c r="F38" s="43">
        <f>'Jessore '!J37</f>
        <v>0</v>
      </c>
      <c r="G38" s="43">
        <f>'Feni '!J37</f>
        <v>34</v>
      </c>
      <c r="H38" s="44">
        <f t="shared" si="0"/>
        <v>771</v>
      </c>
      <c r="I38" s="37"/>
      <c r="J38" s="24"/>
      <c r="K38" s="24"/>
    </row>
    <row r="39" spans="1:11" s="38" customFormat="1" ht="18" customHeight="1" x14ac:dyDescent="0.25">
      <c r="A39" s="39" t="s">
        <v>59</v>
      </c>
      <c r="B39" s="40" t="s">
        <v>37</v>
      </c>
      <c r="C39" s="43">
        <f>'Cumilla '!J38</f>
        <v>116</v>
      </c>
      <c r="D39" s="43">
        <f>'Mymensing '!J38</f>
        <v>178</v>
      </c>
      <c r="E39" s="43">
        <f>Bogra!J38</f>
        <v>20</v>
      </c>
      <c r="F39" s="43">
        <f>'Jessore '!J38</f>
        <v>129</v>
      </c>
      <c r="G39" s="43">
        <f>'Feni '!J38</f>
        <v>139</v>
      </c>
      <c r="H39" s="44">
        <f t="shared" si="0"/>
        <v>582</v>
      </c>
      <c r="I39" s="37"/>
      <c r="J39" s="24"/>
      <c r="K39" s="24"/>
    </row>
    <row r="40" spans="1:11" s="38" customFormat="1" ht="18" customHeight="1" x14ac:dyDescent="0.25">
      <c r="A40" s="39"/>
      <c r="B40" s="40"/>
      <c r="C40" s="43">
        <f>'Cumilla '!J39</f>
        <v>0</v>
      </c>
      <c r="D40" s="43">
        <f>'Mymensing '!J39</f>
        <v>0</v>
      </c>
      <c r="E40" s="43">
        <f>Bogra!J39</f>
        <v>0</v>
      </c>
      <c r="F40" s="43">
        <f>'Jessore '!J39</f>
        <v>0</v>
      </c>
      <c r="G40" s="43">
        <f>'Feni '!J39</f>
        <v>0</v>
      </c>
      <c r="H40" s="44">
        <f t="shared" si="0"/>
        <v>0</v>
      </c>
      <c r="I40" s="37"/>
      <c r="J40" s="24"/>
      <c r="K40" s="24"/>
    </row>
    <row r="41" spans="1:11" s="27" customFormat="1" ht="18" customHeight="1" x14ac:dyDescent="0.25">
      <c r="A41" s="29" t="s">
        <v>13</v>
      </c>
      <c r="B41" s="29"/>
      <c r="C41" s="41">
        <f>SUM(C8:C40)</f>
        <v>25273</v>
      </c>
      <c r="D41" s="41">
        <f>SUM(D8:D40)</f>
        <v>9118</v>
      </c>
      <c r="E41" s="41">
        <f>SUM(E8:E39)</f>
        <v>1877</v>
      </c>
      <c r="F41" s="41">
        <f>SUM(F8:F39)</f>
        <v>2736.5</v>
      </c>
      <c r="G41" s="41">
        <f>SUM(G8:G39)</f>
        <v>2158</v>
      </c>
      <c r="H41" s="41">
        <f>SUM(H8:H40)</f>
        <v>41162.5</v>
      </c>
      <c r="I41" s="23"/>
      <c r="J41" s="26"/>
      <c r="K41" s="26"/>
    </row>
    <row r="42" spans="1:11" s="32" customFormat="1" ht="15.75" x14ac:dyDescent="0.25">
      <c r="A42" s="30"/>
      <c r="B42" s="30"/>
      <c r="C42" s="31"/>
      <c r="D42" s="31"/>
      <c r="E42" s="31"/>
      <c r="F42" s="31"/>
      <c r="G42" s="31"/>
      <c r="H42" s="31"/>
      <c r="I42" s="31"/>
      <c r="J42" s="3"/>
      <c r="K42" s="3"/>
    </row>
    <row r="43" spans="1:11" s="32" customFormat="1" ht="15.75" x14ac:dyDescent="0.25">
      <c r="A43" s="30"/>
      <c r="B43" s="30"/>
      <c r="C43" s="31"/>
      <c r="D43" s="31"/>
      <c r="E43" s="31"/>
      <c r="F43" s="31"/>
      <c r="G43" s="31"/>
      <c r="H43" s="31"/>
      <c r="I43" s="31"/>
      <c r="J43" s="3"/>
      <c r="K43" s="3"/>
    </row>
    <row r="44" spans="1:11" s="32" customFormat="1" ht="15.75" x14ac:dyDescent="0.25">
      <c r="A44" s="30"/>
      <c r="B44" s="30"/>
      <c r="C44" s="31"/>
      <c r="D44" s="31"/>
      <c r="E44" s="31"/>
      <c r="F44" s="31"/>
      <c r="G44" s="31"/>
      <c r="H44" s="31"/>
      <c r="I44" s="31"/>
      <c r="J44" s="3"/>
      <c r="K44" s="3"/>
    </row>
    <row r="45" spans="1:11" s="3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32" customFormat="1" ht="15.75" x14ac:dyDescent="0.25">
      <c r="A46" s="1" t="s">
        <v>71</v>
      </c>
      <c r="B46" s="1"/>
      <c r="C46" s="1"/>
      <c r="D46" s="2" t="s">
        <v>72</v>
      </c>
      <c r="E46" s="1"/>
      <c r="I46" s="3" t="s">
        <v>74</v>
      </c>
      <c r="J46" s="1"/>
      <c r="K46" s="1"/>
    </row>
    <row r="47" spans="1:11" s="3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x14ac:dyDescent="0.25">
      <c r="A49" s="24"/>
      <c r="B49" s="28"/>
      <c r="C49" s="24"/>
      <c r="D49" s="24"/>
      <c r="E49" s="24"/>
      <c r="F49" s="24"/>
      <c r="G49" s="24"/>
      <c r="H49" s="24"/>
      <c r="I49" s="24"/>
      <c r="J49" s="24"/>
      <c r="K49" s="24"/>
    </row>
    <row r="50" spans="1:1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</row>
    <row r="51" spans="1:1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</row>
    <row r="52" spans="1:1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</row>
    <row r="54" spans="1:1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</row>
    <row r="55" spans="1:11" x14ac:dyDescent="0.2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</row>
    <row r="56" spans="1:11" x14ac:dyDescent="0.2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</row>
    <row r="57" spans="1:11" x14ac:dyDescent="0.2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</row>
    <row r="58" spans="1:11" x14ac:dyDescent="0.2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</row>
    <row r="59" spans="1:11" x14ac:dyDescent="0.2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</row>
    <row r="60" spans="1:11" x14ac:dyDescent="0.2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</row>
    <row r="61" spans="1:11" x14ac:dyDescent="0.2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</row>
    <row r="62" spans="1:11" x14ac:dyDescent="0.2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</row>
    <row r="63" spans="1:11" x14ac:dyDescent="0.2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</row>
    <row r="64" spans="1:11" x14ac:dyDescent="0.2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</row>
    <row r="65" spans="1:11" x14ac:dyDescent="0.2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</row>
    <row r="66" spans="1:11" x14ac:dyDescent="0.2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</row>
    <row r="67" spans="1:11" x14ac:dyDescent="0.2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</row>
    <row r="68" spans="1:11" x14ac:dyDescent="0.2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</row>
    <row r="69" spans="1:11" x14ac:dyDescent="0.2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</row>
    <row r="70" spans="1:11" x14ac:dyDescent="0.2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1" spans="1:11" x14ac:dyDescent="0.2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</row>
    <row r="72" spans="1:11" x14ac:dyDescent="0.2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</row>
    <row r="73" spans="1:11" x14ac:dyDescent="0.2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</row>
    <row r="74" spans="1:11" x14ac:dyDescent="0.2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</row>
    <row r="75" spans="1:1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x14ac:dyDescent="0.2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</row>
    <row r="77" spans="1:11" x14ac:dyDescent="0.2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</row>
    <row r="78" spans="1:11" x14ac:dyDescent="0.2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</row>
    <row r="79" spans="1:11" x14ac:dyDescent="0.2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</row>
    <row r="80" spans="1:11" x14ac:dyDescent="0.2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</row>
    <row r="81" spans="1:11" x14ac:dyDescent="0.2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</row>
    <row r="82" spans="1:11" x14ac:dyDescent="0.2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</row>
    <row r="83" spans="1:11" x14ac:dyDescent="0.2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>
      <selection activeCell="I10" sqref="I10"/>
    </sheetView>
  </sheetViews>
  <sheetFormatPr defaultRowHeight="15" x14ac:dyDescent="0.25"/>
  <cols>
    <col min="1" max="1" width="18.7109375" customWidth="1"/>
    <col min="2" max="2" width="8.42578125" customWidth="1"/>
    <col min="4" max="4" width="9" customWidth="1"/>
    <col min="5" max="5" width="8" customWidth="1"/>
    <col min="9" max="9" width="7.42578125" customWidth="1"/>
    <col min="10" max="10" width="8.5703125" customWidth="1"/>
  </cols>
  <sheetData>
    <row r="1" spans="1:11" ht="27" x14ac:dyDescent="0.25">
      <c r="A1" s="55" t="s">
        <v>14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25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8" x14ac:dyDescent="0.25">
      <c r="A3" s="57" t="s">
        <v>16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x14ac:dyDescent="0.2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 x14ac:dyDescent="0.25">
      <c r="A5" s="6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4" t="s">
        <v>26</v>
      </c>
    </row>
    <row r="6" spans="1:11" ht="17.25" customHeight="1" x14ac:dyDescent="0.25">
      <c r="A6" s="6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5"/>
    </row>
    <row r="7" spans="1:11" ht="17.25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180</v>
      </c>
      <c r="D7" s="10"/>
      <c r="E7" s="10"/>
      <c r="F7" s="10">
        <f>C7+D7+E7</f>
        <v>180</v>
      </c>
      <c r="G7" s="10"/>
      <c r="H7" s="10"/>
      <c r="I7" s="10"/>
      <c r="J7" s="10">
        <f>F7-G7-H7-I7</f>
        <v>180</v>
      </c>
      <c r="K7" s="10"/>
    </row>
    <row r="8" spans="1:11" ht="17.25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154</v>
      </c>
      <c r="D8" s="12"/>
      <c r="E8" s="12"/>
      <c r="F8" s="10">
        <f t="shared" ref="F8:F38" si="0">C8+D8+E8</f>
        <v>154</v>
      </c>
      <c r="G8" s="12"/>
      <c r="H8" s="12">
        <v>24</v>
      </c>
      <c r="I8" s="12"/>
      <c r="J8" s="10">
        <f t="shared" ref="J8:J38" si="1">F8-G8-H8-I8</f>
        <v>130</v>
      </c>
      <c r="K8" s="12"/>
    </row>
    <row r="9" spans="1:11" ht="17.25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4638</v>
      </c>
      <c r="D9" s="12"/>
      <c r="E9" s="12"/>
      <c r="F9" s="10">
        <f t="shared" si="0"/>
        <v>4638</v>
      </c>
      <c r="G9" s="12"/>
      <c r="H9" s="12">
        <v>42</v>
      </c>
      <c r="I9" s="12">
        <v>1</v>
      </c>
      <c r="J9" s="10">
        <f t="shared" si="1"/>
        <v>4595</v>
      </c>
      <c r="K9" s="12"/>
    </row>
    <row r="10" spans="1:11" ht="17.25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207</v>
      </c>
      <c r="D10" s="12"/>
      <c r="E10" s="12"/>
      <c r="F10" s="10">
        <f t="shared" si="0"/>
        <v>207</v>
      </c>
      <c r="G10" s="12"/>
      <c r="H10" s="12">
        <v>41</v>
      </c>
      <c r="I10" s="12">
        <v>112</v>
      </c>
      <c r="J10" s="10">
        <f t="shared" si="1"/>
        <v>54</v>
      </c>
      <c r="K10" s="12"/>
    </row>
    <row r="11" spans="1:11" ht="17.25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2941</v>
      </c>
      <c r="D11" s="12"/>
      <c r="E11" s="12"/>
      <c r="F11" s="10">
        <f t="shared" si="0"/>
        <v>2941</v>
      </c>
      <c r="G11" s="12"/>
      <c r="H11" s="12">
        <v>5</v>
      </c>
      <c r="I11" s="12"/>
      <c r="J11" s="10">
        <f t="shared" si="1"/>
        <v>2936</v>
      </c>
      <c r="K11" s="12"/>
    </row>
    <row r="12" spans="1:11" ht="17.25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1370</v>
      </c>
      <c r="D12" s="12"/>
      <c r="E12" s="12"/>
      <c r="F12" s="10">
        <f t="shared" si="0"/>
        <v>1370</v>
      </c>
      <c r="G12" s="12">
        <v>150</v>
      </c>
      <c r="H12" s="12">
        <v>99</v>
      </c>
      <c r="I12" s="12">
        <v>2</v>
      </c>
      <c r="J12" s="10">
        <f t="shared" si="1"/>
        <v>1119</v>
      </c>
      <c r="K12" s="12"/>
    </row>
    <row r="13" spans="1:11" ht="17.25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2099</v>
      </c>
      <c r="D13" s="12">
        <v>27</v>
      </c>
      <c r="E13" s="12"/>
      <c r="F13" s="10">
        <f t="shared" si="0"/>
        <v>2126</v>
      </c>
      <c r="G13" s="12"/>
      <c r="H13" s="12">
        <v>50</v>
      </c>
      <c r="I13" s="12"/>
      <c r="J13" s="10">
        <f t="shared" si="1"/>
        <v>2076</v>
      </c>
      <c r="K13" s="12"/>
    </row>
    <row r="14" spans="1:11" ht="17.25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1065</v>
      </c>
      <c r="D14" s="12">
        <v>19</v>
      </c>
      <c r="E14" s="12"/>
      <c r="F14" s="10">
        <f t="shared" si="0"/>
        <v>1084</v>
      </c>
      <c r="G14" s="12">
        <v>75</v>
      </c>
      <c r="H14" s="12">
        <v>71</v>
      </c>
      <c r="I14" s="12"/>
      <c r="J14" s="10">
        <f t="shared" si="1"/>
        <v>938</v>
      </c>
      <c r="K14" s="12"/>
    </row>
    <row r="15" spans="1:11" ht="17.25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515</v>
      </c>
      <c r="D15" s="12"/>
      <c r="E15" s="12"/>
      <c r="F15" s="10">
        <f t="shared" si="0"/>
        <v>515</v>
      </c>
      <c r="G15" s="12"/>
      <c r="H15" s="12"/>
      <c r="I15" s="12"/>
      <c r="J15" s="10">
        <f t="shared" si="1"/>
        <v>515</v>
      </c>
      <c r="K15" s="12"/>
    </row>
    <row r="16" spans="1:11" ht="17.25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81</v>
      </c>
      <c r="D16" s="12"/>
      <c r="E16" s="12"/>
      <c r="F16" s="10">
        <f t="shared" si="0"/>
        <v>81</v>
      </c>
      <c r="G16" s="12"/>
      <c r="H16" s="12"/>
      <c r="I16" s="12"/>
      <c r="J16" s="10">
        <f t="shared" si="1"/>
        <v>81</v>
      </c>
      <c r="K16" s="12"/>
    </row>
    <row r="17" spans="1:11" ht="17.25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1048</v>
      </c>
      <c r="D17" s="12"/>
      <c r="E17" s="12">
        <v>5</v>
      </c>
      <c r="F17" s="10">
        <f t="shared" si="0"/>
        <v>1053</v>
      </c>
      <c r="G17" s="12">
        <v>375</v>
      </c>
      <c r="H17" s="12">
        <v>20</v>
      </c>
      <c r="I17" s="12"/>
      <c r="J17" s="10">
        <f t="shared" si="1"/>
        <v>658</v>
      </c>
      <c r="K17" s="12"/>
    </row>
    <row r="18" spans="1:11" ht="17.25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205</v>
      </c>
      <c r="D18" s="12"/>
      <c r="E18" s="12"/>
      <c r="F18" s="10">
        <f t="shared" si="0"/>
        <v>205</v>
      </c>
      <c r="G18" s="12"/>
      <c r="H18" s="12">
        <v>74</v>
      </c>
      <c r="I18" s="12"/>
      <c r="J18" s="10">
        <f t="shared" si="1"/>
        <v>131</v>
      </c>
      <c r="K18" s="12"/>
    </row>
    <row r="19" spans="1:11" ht="17.25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21</v>
      </c>
      <c r="D19" s="12"/>
      <c r="E19" s="12"/>
      <c r="F19" s="10">
        <f t="shared" si="0"/>
        <v>21</v>
      </c>
      <c r="G19" s="12"/>
      <c r="H19" s="12">
        <v>21</v>
      </c>
      <c r="I19" s="12"/>
      <c r="J19" s="10">
        <f t="shared" si="1"/>
        <v>0</v>
      </c>
      <c r="K19" s="12"/>
    </row>
    <row r="20" spans="1:11" ht="17.25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8</v>
      </c>
      <c r="D20" s="13"/>
      <c r="E20" s="13">
        <v>4</v>
      </c>
      <c r="F20" s="10">
        <f t="shared" si="0"/>
        <v>12</v>
      </c>
      <c r="G20" s="13"/>
      <c r="H20" s="12">
        <v>3</v>
      </c>
      <c r="I20" s="13"/>
      <c r="J20" s="10">
        <f t="shared" si="1"/>
        <v>9</v>
      </c>
      <c r="K20" s="13"/>
    </row>
    <row r="21" spans="1:11" ht="17.25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212</v>
      </c>
      <c r="D21" s="12"/>
      <c r="E21" s="12"/>
      <c r="F21" s="10">
        <f t="shared" si="0"/>
        <v>212</v>
      </c>
      <c r="G21" s="12"/>
      <c r="H21" s="12">
        <v>210</v>
      </c>
      <c r="I21" s="12">
        <v>1</v>
      </c>
      <c r="J21" s="10">
        <f t="shared" si="1"/>
        <v>1</v>
      </c>
      <c r="K21" s="12"/>
    </row>
    <row r="22" spans="1:11" ht="17.25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126</v>
      </c>
      <c r="D22" s="12"/>
      <c r="E22" s="12">
        <v>10</v>
      </c>
      <c r="F22" s="10">
        <f t="shared" si="0"/>
        <v>136</v>
      </c>
      <c r="G22" s="12"/>
      <c r="H22" s="12">
        <v>10</v>
      </c>
      <c r="I22" s="12"/>
      <c r="J22" s="10">
        <f t="shared" si="1"/>
        <v>126</v>
      </c>
      <c r="K22" s="12"/>
    </row>
    <row r="23" spans="1:11" ht="17.25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159</v>
      </c>
      <c r="D23" s="12"/>
      <c r="E23" s="12"/>
      <c r="F23" s="10">
        <f t="shared" si="0"/>
        <v>159</v>
      </c>
      <c r="G23" s="12"/>
      <c r="H23" s="12">
        <v>35</v>
      </c>
      <c r="I23" s="12"/>
      <c r="J23" s="10">
        <f t="shared" si="1"/>
        <v>124</v>
      </c>
      <c r="K23" s="12"/>
    </row>
    <row r="24" spans="1:11" ht="17.25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243</v>
      </c>
      <c r="D24" s="12"/>
      <c r="E24" s="12"/>
      <c r="F24" s="10">
        <f t="shared" si="0"/>
        <v>243</v>
      </c>
      <c r="G24" s="12"/>
      <c r="H24" s="12"/>
      <c r="I24" s="12"/>
      <c r="J24" s="10">
        <f t="shared" si="1"/>
        <v>243</v>
      </c>
      <c r="K24" s="12"/>
    </row>
    <row r="25" spans="1:11" ht="17.25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4480</v>
      </c>
      <c r="D25" s="12"/>
      <c r="E25" s="12"/>
      <c r="F25" s="10">
        <f t="shared" si="0"/>
        <v>4480</v>
      </c>
      <c r="G25" s="12"/>
      <c r="H25" s="12">
        <v>26</v>
      </c>
      <c r="I25" s="12">
        <v>1</v>
      </c>
      <c r="J25" s="10">
        <f t="shared" si="1"/>
        <v>4453</v>
      </c>
      <c r="K25" s="12"/>
    </row>
    <row r="26" spans="1:11" ht="17.25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1831</v>
      </c>
      <c r="D26" s="12"/>
      <c r="E26" s="12">
        <v>9</v>
      </c>
      <c r="F26" s="10">
        <f t="shared" si="0"/>
        <v>1840</v>
      </c>
      <c r="G26" s="12"/>
      <c r="H26" s="12">
        <v>44</v>
      </c>
      <c r="I26" s="12">
        <v>1</v>
      </c>
      <c r="J26" s="10">
        <f t="shared" si="1"/>
        <v>1795</v>
      </c>
      <c r="K26" s="12"/>
    </row>
    <row r="27" spans="1:11" ht="17.25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410</v>
      </c>
      <c r="D27" s="12"/>
      <c r="E27" s="12"/>
      <c r="F27" s="10">
        <f t="shared" si="0"/>
        <v>410</v>
      </c>
      <c r="G27" s="12"/>
      <c r="H27" s="12">
        <v>28</v>
      </c>
      <c r="I27" s="12"/>
      <c r="J27" s="10">
        <f t="shared" si="1"/>
        <v>382</v>
      </c>
      <c r="K27" s="12"/>
    </row>
    <row r="28" spans="1:11" ht="17.25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0</v>
      </c>
      <c r="D28" s="12"/>
      <c r="E28" s="12"/>
      <c r="F28" s="10">
        <f t="shared" si="0"/>
        <v>0</v>
      </c>
      <c r="G28" s="12"/>
      <c r="H28" s="12"/>
      <c r="I28" s="12"/>
      <c r="J28" s="10">
        <f t="shared" si="1"/>
        <v>0</v>
      </c>
      <c r="K28" s="12"/>
    </row>
    <row r="29" spans="1:11" ht="17.25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144</v>
      </c>
      <c r="D29" s="12"/>
      <c r="E29" s="12"/>
      <c r="F29" s="10">
        <f t="shared" si="0"/>
        <v>144</v>
      </c>
      <c r="G29" s="12"/>
      <c r="H29" s="12">
        <v>32</v>
      </c>
      <c r="I29" s="12"/>
      <c r="J29" s="10">
        <f t="shared" si="1"/>
        <v>112</v>
      </c>
      <c r="K29" s="12"/>
    </row>
    <row r="30" spans="1:11" ht="17.25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633</v>
      </c>
      <c r="D30" s="14"/>
      <c r="E30" s="14"/>
      <c r="F30" s="10">
        <f t="shared" si="0"/>
        <v>633</v>
      </c>
      <c r="G30" s="14"/>
      <c r="H30" s="14">
        <v>160</v>
      </c>
      <c r="I30" s="14">
        <v>8</v>
      </c>
      <c r="J30" s="10">
        <f t="shared" si="1"/>
        <v>465</v>
      </c>
      <c r="K30" s="14"/>
    </row>
    <row r="31" spans="1:11" ht="17.25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/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14"/>
    </row>
    <row r="32" spans="1:11" ht="17.25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852</v>
      </c>
      <c r="D32" s="12"/>
      <c r="E32" s="12">
        <v>4</v>
      </c>
      <c r="F32" s="10">
        <f t="shared" si="0"/>
        <v>856</v>
      </c>
      <c r="G32" s="12"/>
      <c r="H32" s="12"/>
      <c r="I32" s="12"/>
      <c r="J32" s="10">
        <f t="shared" si="1"/>
        <v>856</v>
      </c>
      <c r="K32" s="12"/>
    </row>
    <row r="33" spans="1:11" ht="17.25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385</v>
      </c>
      <c r="D33" s="12">
        <v>200</v>
      </c>
      <c r="E33" s="12"/>
      <c r="F33" s="10">
        <f t="shared" si="0"/>
        <v>585</v>
      </c>
      <c r="G33" s="12"/>
      <c r="H33" s="12">
        <v>167</v>
      </c>
      <c r="I33" s="12">
        <v>6</v>
      </c>
      <c r="J33" s="10">
        <f t="shared" si="1"/>
        <v>412</v>
      </c>
      <c r="K33" s="12"/>
    </row>
    <row r="34" spans="1:11" ht="17.25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173</v>
      </c>
      <c r="D34" s="12">
        <v>296</v>
      </c>
      <c r="E34" s="12"/>
      <c r="F34" s="10">
        <f t="shared" si="0"/>
        <v>469</v>
      </c>
      <c r="G34" s="12">
        <v>144</v>
      </c>
      <c r="H34" s="12">
        <v>251</v>
      </c>
      <c r="I34" s="12">
        <v>6</v>
      </c>
      <c r="J34" s="10">
        <f t="shared" si="1"/>
        <v>68</v>
      </c>
      <c r="K34" s="12"/>
    </row>
    <row r="35" spans="1:11" ht="17.25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558</v>
      </c>
      <c r="D35" s="12"/>
      <c r="E35" s="12"/>
      <c r="F35" s="10">
        <f t="shared" si="0"/>
        <v>558</v>
      </c>
      <c r="G35" s="12"/>
      <c r="H35" s="12">
        <v>22</v>
      </c>
      <c r="I35" s="12"/>
      <c r="J35" s="10">
        <f t="shared" si="1"/>
        <v>536</v>
      </c>
      <c r="K35" s="12"/>
    </row>
    <row r="36" spans="1:11" ht="17.25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2310</v>
      </c>
      <c r="D36" s="12"/>
      <c r="E36" s="12"/>
      <c r="F36" s="10">
        <f t="shared" si="0"/>
        <v>2310</v>
      </c>
      <c r="G36" s="12">
        <v>135</v>
      </c>
      <c r="H36" s="12">
        <v>28</v>
      </c>
      <c r="I36" s="12"/>
      <c r="J36" s="10">
        <f t="shared" si="1"/>
        <v>2147</v>
      </c>
      <c r="K36" s="12"/>
    </row>
    <row r="37" spans="1:11" ht="17.25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263</v>
      </c>
      <c r="D37" s="12"/>
      <c r="E37" s="12"/>
      <c r="F37" s="10">
        <f t="shared" si="0"/>
        <v>263</v>
      </c>
      <c r="G37" s="12">
        <v>180</v>
      </c>
      <c r="H37" s="12">
        <v>66</v>
      </c>
      <c r="I37" s="12">
        <v>2</v>
      </c>
      <c r="J37" s="10">
        <f t="shared" si="1"/>
        <v>15</v>
      </c>
      <c r="K37" s="12"/>
    </row>
    <row r="38" spans="1:11" ht="17.25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126</v>
      </c>
      <c r="D38" s="12">
        <v>144</v>
      </c>
      <c r="E38" s="12"/>
      <c r="F38" s="10">
        <f t="shared" si="0"/>
        <v>270</v>
      </c>
      <c r="G38" s="12"/>
      <c r="H38" s="12">
        <v>154</v>
      </c>
      <c r="I38" s="12"/>
      <c r="J38" s="10">
        <f t="shared" si="1"/>
        <v>116</v>
      </c>
      <c r="K38" s="12"/>
    </row>
    <row r="39" spans="1:11" ht="17.25" customHeight="1" x14ac:dyDescent="0.25">
      <c r="A39" s="7"/>
      <c r="B39" s="16"/>
      <c r="C39" s="11"/>
      <c r="D39" s="11"/>
      <c r="E39" s="11"/>
      <c r="F39" s="10"/>
      <c r="G39" s="11"/>
      <c r="H39" s="11"/>
      <c r="I39" s="11"/>
      <c r="J39" s="10"/>
      <c r="K39" s="11"/>
    </row>
    <row r="40" spans="1:11" ht="17.25" customHeight="1" x14ac:dyDescent="0.25">
      <c r="A40" s="7"/>
      <c r="B40" s="13"/>
      <c r="C40" s="11"/>
      <c r="D40" s="11"/>
      <c r="E40" s="11"/>
      <c r="F40" s="10"/>
      <c r="G40" s="11"/>
      <c r="H40" s="11"/>
      <c r="I40" s="11"/>
      <c r="J40" s="10"/>
      <c r="K40" s="11"/>
    </row>
    <row r="41" spans="1:11" ht="18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x14ac:dyDescent="0.25">
      <c r="A42" s="19" t="s">
        <v>60</v>
      </c>
      <c r="B42" s="19"/>
      <c r="C42" s="19"/>
      <c r="D42" s="19"/>
      <c r="E42" s="19"/>
      <c r="F42" s="19"/>
      <c r="G42" s="19"/>
      <c r="H42" s="20"/>
      <c r="I42" s="19"/>
      <c r="J42" s="19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zoomScaleNormal="100" workbookViewId="0">
      <selection activeCell="I15" sqref="I15"/>
    </sheetView>
  </sheetViews>
  <sheetFormatPr defaultRowHeight="15" x14ac:dyDescent="0.25"/>
  <cols>
    <col min="1" max="1" width="17.85546875" customWidth="1"/>
    <col min="2" max="2" width="8.42578125" customWidth="1"/>
    <col min="5" max="5" width="8.28515625" customWidth="1"/>
    <col min="7" max="7" width="8" customWidth="1"/>
    <col min="8" max="8" width="8.28515625" customWidth="1"/>
    <col min="9" max="9" width="7.42578125" customWidth="1"/>
    <col min="10" max="10" width="8" customWidth="1"/>
  </cols>
  <sheetData>
    <row r="1" spans="1:12" ht="27" x14ac:dyDescent="0.25">
      <c r="A1" s="55" t="s">
        <v>14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2" x14ac:dyDescent="0.25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2" ht="18" x14ac:dyDescent="0.25">
      <c r="A3" s="57" t="s">
        <v>16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2" x14ac:dyDescent="0.2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66</v>
      </c>
    </row>
    <row r="5" spans="1:12" ht="17.25" customHeight="1" x14ac:dyDescent="0.25">
      <c r="A5" s="6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4" t="s">
        <v>26</v>
      </c>
    </row>
    <row r="6" spans="1:12" ht="17.25" customHeight="1" x14ac:dyDescent="0.25">
      <c r="A6" s="6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5"/>
    </row>
    <row r="7" spans="1:12" ht="17.25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517</v>
      </c>
      <c r="D7" s="10"/>
      <c r="E7" s="10"/>
      <c r="F7" s="10">
        <f>C7+D7+E7</f>
        <v>517</v>
      </c>
      <c r="G7" s="10"/>
      <c r="H7" s="10"/>
      <c r="I7" s="10"/>
      <c r="J7" s="10">
        <v>531</v>
      </c>
      <c r="K7" s="50">
        <v>14</v>
      </c>
      <c r="L7" s="54"/>
    </row>
    <row r="8" spans="1:12" ht="17.25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292</v>
      </c>
      <c r="D8" s="12"/>
      <c r="E8" s="12"/>
      <c r="F8" s="10">
        <f t="shared" ref="F8:F38" si="0">C8+D8+E8</f>
        <v>292</v>
      </c>
      <c r="G8" s="12"/>
      <c r="H8" s="12">
        <v>5</v>
      </c>
      <c r="I8" s="12"/>
      <c r="J8" s="10">
        <v>295</v>
      </c>
      <c r="K8" s="51">
        <v>8</v>
      </c>
      <c r="L8" s="54"/>
    </row>
    <row r="9" spans="1:12" ht="17.25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464</v>
      </c>
      <c r="D9" s="12"/>
      <c r="E9" s="12"/>
      <c r="F9" s="10">
        <f t="shared" si="0"/>
        <v>464</v>
      </c>
      <c r="G9" s="12"/>
      <c r="H9" s="12">
        <v>47</v>
      </c>
      <c r="I9" s="12"/>
      <c r="J9" s="10">
        <v>421</v>
      </c>
      <c r="K9" s="51">
        <v>4</v>
      </c>
      <c r="L9" s="54"/>
    </row>
    <row r="10" spans="1:12" ht="17.25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272</v>
      </c>
      <c r="D10" s="12"/>
      <c r="E10" s="12"/>
      <c r="F10" s="10">
        <f t="shared" si="0"/>
        <v>272</v>
      </c>
      <c r="G10" s="12"/>
      <c r="H10" s="12">
        <v>67</v>
      </c>
      <c r="I10" s="12"/>
      <c r="J10" s="10">
        <v>185</v>
      </c>
      <c r="K10" s="51">
        <v>-20</v>
      </c>
      <c r="L10" s="54"/>
    </row>
    <row r="11" spans="1:12" ht="17.25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765</v>
      </c>
      <c r="D11" s="12"/>
      <c r="E11" s="12"/>
      <c r="F11" s="10">
        <f t="shared" si="0"/>
        <v>765</v>
      </c>
      <c r="G11" s="12"/>
      <c r="H11" s="12">
        <v>133</v>
      </c>
      <c r="I11" s="12"/>
      <c r="J11" s="10">
        <v>656</v>
      </c>
      <c r="K11" s="51">
        <v>24</v>
      </c>
      <c r="L11" s="54"/>
    </row>
    <row r="12" spans="1:12" ht="17.25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227</v>
      </c>
      <c r="D12" s="12"/>
      <c r="E12" s="12"/>
      <c r="F12" s="10">
        <f t="shared" si="0"/>
        <v>227</v>
      </c>
      <c r="G12" s="12"/>
      <c r="H12" s="12">
        <v>23</v>
      </c>
      <c r="I12" s="12"/>
      <c r="J12" s="10">
        <v>208</v>
      </c>
      <c r="K12" s="51">
        <v>4</v>
      </c>
      <c r="L12" s="54"/>
    </row>
    <row r="13" spans="1:12" ht="17.25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822</v>
      </c>
      <c r="D13" s="12"/>
      <c r="E13" s="12"/>
      <c r="F13" s="10">
        <f t="shared" si="0"/>
        <v>822</v>
      </c>
      <c r="G13" s="12"/>
      <c r="H13" s="12">
        <v>236</v>
      </c>
      <c r="I13" s="12"/>
      <c r="J13" s="10">
        <v>605</v>
      </c>
      <c r="K13" s="51">
        <v>19</v>
      </c>
      <c r="L13" s="54"/>
    </row>
    <row r="14" spans="1:12" ht="17.25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308</v>
      </c>
      <c r="D14" s="12"/>
      <c r="E14" s="12"/>
      <c r="F14" s="10">
        <f t="shared" si="0"/>
        <v>308</v>
      </c>
      <c r="G14" s="12"/>
      <c r="H14" s="12">
        <v>55</v>
      </c>
      <c r="I14" s="12"/>
      <c r="J14" s="10">
        <v>260</v>
      </c>
      <c r="K14" s="51">
        <v>7</v>
      </c>
      <c r="L14" s="54"/>
    </row>
    <row r="15" spans="1:12" ht="17.25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182</v>
      </c>
      <c r="D15" s="12"/>
      <c r="E15" s="12">
        <v>9</v>
      </c>
      <c r="F15" s="10">
        <f t="shared" si="0"/>
        <v>191</v>
      </c>
      <c r="G15" s="12"/>
      <c r="H15" s="12">
        <v>15</v>
      </c>
      <c r="I15" s="12"/>
      <c r="J15" s="10">
        <v>177</v>
      </c>
      <c r="K15" s="51">
        <v>1</v>
      </c>
      <c r="L15" s="54"/>
    </row>
    <row r="16" spans="1:12" ht="17.25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810</v>
      </c>
      <c r="D16" s="12"/>
      <c r="E16" s="12"/>
      <c r="F16" s="10">
        <f t="shared" si="0"/>
        <v>810</v>
      </c>
      <c r="G16" s="12"/>
      <c r="H16" s="12"/>
      <c r="I16" s="12"/>
      <c r="J16" s="10">
        <f t="shared" ref="J16:J31" si="1">F16-G16-H16-I16</f>
        <v>810</v>
      </c>
      <c r="K16" s="51">
        <v>10</v>
      </c>
      <c r="L16" s="54"/>
    </row>
    <row r="17" spans="1:12" ht="17.25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285</v>
      </c>
      <c r="D17" s="12"/>
      <c r="E17" s="12"/>
      <c r="F17" s="10">
        <f t="shared" si="0"/>
        <v>285</v>
      </c>
      <c r="G17" s="12"/>
      <c r="H17" s="12">
        <v>88</v>
      </c>
      <c r="I17" s="12"/>
      <c r="J17" s="10">
        <v>207</v>
      </c>
      <c r="K17" s="51">
        <v>18</v>
      </c>
      <c r="L17" s="54"/>
    </row>
    <row r="18" spans="1:12" ht="17.25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500</v>
      </c>
      <c r="D18" s="12"/>
      <c r="E18" s="12"/>
      <c r="F18" s="10">
        <f t="shared" si="0"/>
        <v>500</v>
      </c>
      <c r="G18" s="12"/>
      <c r="H18" s="12">
        <v>33</v>
      </c>
      <c r="I18" s="12"/>
      <c r="J18" s="10">
        <v>485</v>
      </c>
      <c r="K18" s="51"/>
      <c r="L18" s="54"/>
    </row>
    <row r="19" spans="1:12" ht="17.25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51"/>
      <c r="L19" s="54"/>
    </row>
    <row r="20" spans="1:12" ht="17.25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12</v>
      </c>
      <c r="D20" s="13"/>
      <c r="E20" s="13"/>
      <c r="F20" s="10">
        <f t="shared" si="0"/>
        <v>12</v>
      </c>
      <c r="G20" s="13">
        <v>6</v>
      </c>
      <c r="H20" s="13"/>
      <c r="I20" s="13"/>
      <c r="J20" s="10">
        <f t="shared" si="1"/>
        <v>6</v>
      </c>
      <c r="K20" s="51"/>
      <c r="L20" s="54"/>
    </row>
    <row r="21" spans="1:12" ht="17.25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50</v>
      </c>
      <c r="D21" s="12"/>
      <c r="E21" s="12"/>
      <c r="F21" s="10">
        <f t="shared" si="0"/>
        <v>50</v>
      </c>
      <c r="G21" s="12"/>
      <c r="H21" s="12">
        <v>10</v>
      </c>
      <c r="I21" s="12"/>
      <c r="J21" s="10">
        <f t="shared" si="1"/>
        <v>40</v>
      </c>
      <c r="K21" s="51"/>
      <c r="L21" s="54"/>
    </row>
    <row r="22" spans="1:12" ht="17.25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0</v>
      </c>
      <c r="D22" s="12"/>
      <c r="E22" s="12"/>
      <c r="F22" s="10">
        <f t="shared" si="0"/>
        <v>0</v>
      </c>
      <c r="G22" s="12"/>
      <c r="H22" s="12"/>
      <c r="I22" s="12"/>
      <c r="J22" s="10">
        <f t="shared" si="1"/>
        <v>0</v>
      </c>
      <c r="K22" s="51"/>
      <c r="L22" s="54"/>
    </row>
    <row r="23" spans="1:12" ht="17.25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133</v>
      </c>
      <c r="D23" s="12"/>
      <c r="E23" s="12"/>
      <c r="F23" s="10">
        <f t="shared" si="0"/>
        <v>133</v>
      </c>
      <c r="G23" s="12"/>
      <c r="H23" s="12">
        <v>37</v>
      </c>
      <c r="I23" s="12"/>
      <c r="J23" s="10">
        <v>98</v>
      </c>
      <c r="K23" s="51">
        <v>2</v>
      </c>
      <c r="L23" s="54"/>
    </row>
    <row r="24" spans="1:12" ht="17.25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154</v>
      </c>
      <c r="D24" s="12"/>
      <c r="E24" s="13"/>
      <c r="F24" s="10">
        <f t="shared" si="0"/>
        <v>154</v>
      </c>
      <c r="G24" s="12"/>
      <c r="H24" s="12">
        <v>21</v>
      </c>
      <c r="I24" s="12"/>
      <c r="J24" s="10">
        <v>162</v>
      </c>
      <c r="K24" s="51">
        <v>29</v>
      </c>
      <c r="L24" s="54"/>
    </row>
    <row r="25" spans="1:12" ht="17.25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276</v>
      </c>
      <c r="D25" s="12"/>
      <c r="E25" s="13"/>
      <c r="F25" s="10">
        <f t="shared" si="0"/>
        <v>276</v>
      </c>
      <c r="G25" s="12"/>
      <c r="H25" s="12">
        <v>21</v>
      </c>
      <c r="I25" s="12"/>
      <c r="J25" s="10">
        <v>271</v>
      </c>
      <c r="K25" s="51">
        <v>16</v>
      </c>
      <c r="L25" s="54"/>
    </row>
    <row r="26" spans="1:12" ht="17.25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342</v>
      </c>
      <c r="D26" s="12"/>
      <c r="E26" s="12"/>
      <c r="F26" s="10">
        <f t="shared" si="0"/>
        <v>342</v>
      </c>
      <c r="G26" s="12"/>
      <c r="H26" s="12">
        <v>67</v>
      </c>
      <c r="I26" s="12"/>
      <c r="J26" s="10">
        <v>294</v>
      </c>
      <c r="K26" s="51">
        <v>19</v>
      </c>
      <c r="L26" s="54"/>
    </row>
    <row r="27" spans="1:12" ht="17.25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60</v>
      </c>
      <c r="D27" s="12"/>
      <c r="E27" s="12"/>
      <c r="F27" s="10">
        <f t="shared" si="0"/>
        <v>60</v>
      </c>
      <c r="G27" s="12"/>
      <c r="H27" s="12">
        <v>5</v>
      </c>
      <c r="I27" s="12"/>
      <c r="J27" s="10">
        <f t="shared" si="1"/>
        <v>55</v>
      </c>
      <c r="K27" s="51"/>
      <c r="L27" s="54"/>
    </row>
    <row r="28" spans="1:12" ht="17.25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102</v>
      </c>
      <c r="D28" s="12"/>
      <c r="E28" s="12"/>
      <c r="F28" s="10">
        <f t="shared" si="0"/>
        <v>102</v>
      </c>
      <c r="G28" s="12"/>
      <c r="H28" s="12"/>
      <c r="I28" s="12"/>
      <c r="J28" s="10">
        <v>102</v>
      </c>
      <c r="K28" s="51"/>
      <c r="L28" s="54"/>
    </row>
    <row r="29" spans="1:12" ht="17.25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109</v>
      </c>
      <c r="D29" s="12">
        <v>18</v>
      </c>
      <c r="E29" s="12">
        <v>15</v>
      </c>
      <c r="F29" s="10">
        <f t="shared" si="0"/>
        <v>142</v>
      </c>
      <c r="G29" s="12"/>
      <c r="H29" s="12">
        <v>102</v>
      </c>
      <c r="I29" s="12"/>
      <c r="J29" s="10">
        <f t="shared" si="1"/>
        <v>40</v>
      </c>
      <c r="K29" s="51"/>
      <c r="L29" s="54"/>
    </row>
    <row r="30" spans="1:12" ht="17.25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52"/>
      <c r="L30" s="54"/>
    </row>
    <row r="31" spans="1:12" ht="17.25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/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52"/>
      <c r="L31" s="54"/>
    </row>
    <row r="32" spans="1:12" ht="17.25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177</v>
      </c>
      <c r="D32" s="12"/>
      <c r="E32" s="12">
        <v>10</v>
      </c>
      <c r="F32" s="10">
        <f t="shared" si="0"/>
        <v>187</v>
      </c>
      <c r="G32" s="12"/>
      <c r="H32" s="12">
        <v>105</v>
      </c>
      <c r="I32" s="12"/>
      <c r="J32" s="10">
        <v>69</v>
      </c>
      <c r="K32" s="51">
        <v>-13</v>
      </c>
      <c r="L32" s="54"/>
    </row>
    <row r="33" spans="1:12" ht="17.25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940</v>
      </c>
      <c r="D33" s="12"/>
      <c r="E33" s="12"/>
      <c r="F33" s="10">
        <f t="shared" si="0"/>
        <v>940</v>
      </c>
      <c r="G33" s="12"/>
      <c r="H33" s="12">
        <v>152</v>
      </c>
      <c r="I33" s="12"/>
      <c r="J33" s="10">
        <v>888</v>
      </c>
      <c r="K33" s="51">
        <v>100</v>
      </c>
      <c r="L33" s="54"/>
    </row>
    <row r="34" spans="1:12" ht="17.25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132</v>
      </c>
      <c r="D34" s="12"/>
      <c r="E34" s="12"/>
      <c r="F34" s="10">
        <f t="shared" si="0"/>
        <v>132</v>
      </c>
      <c r="G34" s="12"/>
      <c r="H34" s="12">
        <v>47</v>
      </c>
      <c r="I34" s="12"/>
      <c r="J34" s="10">
        <v>102</v>
      </c>
      <c r="K34" s="51">
        <v>17</v>
      </c>
      <c r="L34" s="54"/>
    </row>
    <row r="35" spans="1:12" ht="17.25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688</v>
      </c>
      <c r="D35" s="12"/>
      <c r="E35" s="12"/>
      <c r="F35" s="10">
        <f t="shared" si="0"/>
        <v>688</v>
      </c>
      <c r="G35" s="12"/>
      <c r="H35" s="12">
        <v>5</v>
      </c>
      <c r="I35" s="12"/>
      <c r="J35" s="10">
        <v>726</v>
      </c>
      <c r="K35" s="51">
        <v>43</v>
      </c>
      <c r="L35" s="54"/>
    </row>
    <row r="36" spans="1:12" ht="17.25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597</v>
      </c>
      <c r="D36" s="12"/>
      <c r="E36" s="12"/>
      <c r="F36" s="10">
        <f t="shared" si="0"/>
        <v>597</v>
      </c>
      <c r="G36" s="12"/>
      <c r="H36" s="12">
        <v>5</v>
      </c>
      <c r="I36" s="12"/>
      <c r="J36" s="10">
        <v>614</v>
      </c>
      <c r="K36" s="51">
        <v>22</v>
      </c>
      <c r="L36" s="54"/>
    </row>
    <row r="37" spans="1:12" ht="17.25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668</v>
      </c>
      <c r="D37" s="12">
        <v>180</v>
      </c>
      <c r="E37" s="12"/>
      <c r="F37" s="10">
        <f t="shared" si="0"/>
        <v>848</v>
      </c>
      <c r="G37" s="12"/>
      <c r="H37" s="12">
        <v>211</v>
      </c>
      <c r="I37" s="12"/>
      <c r="J37" s="10">
        <v>633</v>
      </c>
      <c r="K37" s="51">
        <v>-4</v>
      </c>
      <c r="L37" s="54"/>
    </row>
    <row r="38" spans="1:12" ht="17.25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203</v>
      </c>
      <c r="D38" s="12"/>
      <c r="E38" s="12"/>
      <c r="F38" s="10">
        <f t="shared" si="0"/>
        <v>203</v>
      </c>
      <c r="G38" s="12"/>
      <c r="H38" s="12">
        <v>27</v>
      </c>
      <c r="I38" s="12"/>
      <c r="J38" s="10">
        <v>178</v>
      </c>
      <c r="K38" s="51">
        <v>2</v>
      </c>
      <c r="L38" s="54"/>
    </row>
    <row r="39" spans="1:12" ht="17.25" customHeight="1" x14ac:dyDescent="0.25">
      <c r="A39" s="15"/>
      <c r="B39" s="16"/>
      <c r="C39" s="11"/>
      <c r="D39" s="11"/>
      <c r="E39" s="11"/>
      <c r="F39" s="11"/>
      <c r="G39" s="11"/>
      <c r="H39" s="11"/>
      <c r="I39" s="11"/>
      <c r="J39" s="11"/>
      <c r="K39" s="53"/>
    </row>
    <row r="40" spans="1:12" ht="17.25" customHeight="1" x14ac:dyDescent="0.25">
      <c r="A40" s="15"/>
      <c r="B40" s="13"/>
      <c r="C40" s="11"/>
      <c r="D40" s="11"/>
      <c r="E40" s="11"/>
      <c r="F40" s="11"/>
      <c r="G40" s="11"/>
      <c r="H40" s="11"/>
      <c r="I40" s="11"/>
      <c r="J40" s="11"/>
      <c r="K40" s="53"/>
    </row>
    <row r="41" spans="1:12" ht="18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2" ht="18" x14ac:dyDescent="0.2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2" ht="15.75" x14ac:dyDescent="0.25">
      <c r="A43" s="19" t="s">
        <v>60</v>
      </c>
      <c r="B43" s="19"/>
      <c r="C43" s="19"/>
      <c r="D43" s="19"/>
      <c r="E43" s="19"/>
      <c r="F43" s="19"/>
      <c r="G43" s="19"/>
      <c r="H43" s="20"/>
      <c r="I43" s="19"/>
      <c r="J43" s="19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zoomScaleNormal="100" workbookViewId="0">
      <selection activeCell="I48" sqref="I48"/>
    </sheetView>
  </sheetViews>
  <sheetFormatPr defaultRowHeight="15" x14ac:dyDescent="0.25"/>
  <cols>
    <col min="1" max="1" width="19" customWidth="1"/>
    <col min="2" max="2" width="7.5703125" customWidth="1"/>
    <col min="5" max="5" width="7.7109375" customWidth="1"/>
    <col min="6" max="6" width="8.140625" customWidth="1"/>
    <col min="8" max="8" width="8.28515625" customWidth="1"/>
    <col min="9" max="9" width="7.7109375" customWidth="1"/>
    <col min="10" max="10" width="8.28515625" customWidth="1"/>
    <col min="11" max="11" width="8.140625" customWidth="1"/>
  </cols>
  <sheetData>
    <row r="1" spans="1:11" ht="27" x14ac:dyDescent="0.25">
      <c r="A1" s="55" t="s">
        <v>14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25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8" x14ac:dyDescent="0.25">
      <c r="A3" s="57" t="s">
        <v>16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x14ac:dyDescent="0.2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1" ht="18" customHeight="1" x14ac:dyDescent="0.25">
      <c r="A5" s="63" t="s">
        <v>17</v>
      </c>
      <c r="B5" s="4" t="s">
        <v>73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4" t="s">
        <v>26</v>
      </c>
    </row>
    <row r="6" spans="1:11" ht="18" customHeight="1" x14ac:dyDescent="0.25">
      <c r="A6" s="6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5"/>
    </row>
    <row r="7" spans="1:11" ht="18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110</v>
      </c>
      <c r="D7" s="10"/>
      <c r="E7" s="10"/>
      <c r="F7" s="10">
        <f>C7+D7+E7</f>
        <v>110</v>
      </c>
      <c r="G7" s="10"/>
      <c r="H7" s="10"/>
      <c r="I7" s="10"/>
      <c r="J7" s="10">
        <f>F7-G7-H7-I7</f>
        <v>110</v>
      </c>
      <c r="K7" s="10"/>
    </row>
    <row r="8" spans="1:11" ht="18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48</v>
      </c>
      <c r="D8" s="12"/>
      <c r="E8" s="12"/>
      <c r="F8" s="10">
        <f t="shared" ref="F8:F38" si="0">C8+D8+E8</f>
        <v>48</v>
      </c>
      <c r="G8" s="12"/>
      <c r="H8" s="12"/>
      <c r="I8" s="12"/>
      <c r="J8" s="10">
        <f t="shared" ref="J8:J38" si="1">F8-G8-H8-I8</f>
        <v>48</v>
      </c>
      <c r="K8" s="12"/>
    </row>
    <row r="9" spans="1:11" ht="18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160</v>
      </c>
      <c r="D9" s="12"/>
      <c r="E9" s="12"/>
      <c r="F9" s="10">
        <f t="shared" si="0"/>
        <v>160</v>
      </c>
      <c r="G9" s="12"/>
      <c r="H9" s="12">
        <v>41</v>
      </c>
      <c r="I9" s="12"/>
      <c r="J9" s="10">
        <f t="shared" si="1"/>
        <v>119</v>
      </c>
      <c r="K9" s="12"/>
    </row>
    <row r="10" spans="1:11" ht="18" customHeight="1" x14ac:dyDescent="0.25">
      <c r="A10" s="7" t="str">
        <f>'Company Stock '!A11</f>
        <v xml:space="preserve">Aqua Safe Plus </v>
      </c>
      <c r="B10" s="21" t="str">
        <f>'Company Stock '!B11</f>
        <v>5kg</v>
      </c>
      <c r="C10" s="11">
        <v>36</v>
      </c>
      <c r="D10" s="12"/>
      <c r="E10" s="12"/>
      <c r="F10" s="10">
        <f t="shared" si="0"/>
        <v>36</v>
      </c>
      <c r="G10" s="12"/>
      <c r="H10" s="12"/>
      <c r="I10" s="12"/>
      <c r="J10" s="10">
        <f t="shared" si="1"/>
        <v>36</v>
      </c>
      <c r="K10" s="12"/>
    </row>
    <row r="11" spans="1:11" ht="18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103</v>
      </c>
      <c r="D11" s="12"/>
      <c r="E11" s="12"/>
      <c r="F11" s="10">
        <f t="shared" si="0"/>
        <v>103</v>
      </c>
      <c r="G11" s="12"/>
      <c r="H11" s="12"/>
      <c r="I11" s="12"/>
      <c r="J11" s="10">
        <f t="shared" si="1"/>
        <v>103</v>
      </c>
      <c r="K11" s="12"/>
    </row>
    <row r="12" spans="1:11" ht="18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71</v>
      </c>
      <c r="D12" s="12"/>
      <c r="E12" s="12">
        <v>3</v>
      </c>
      <c r="F12" s="10">
        <f t="shared" si="0"/>
        <v>74</v>
      </c>
      <c r="G12" s="12"/>
      <c r="H12" s="12"/>
      <c r="I12" s="12"/>
      <c r="J12" s="10">
        <f t="shared" si="1"/>
        <v>74</v>
      </c>
      <c r="K12" s="12"/>
    </row>
    <row r="13" spans="1:11" ht="18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126</v>
      </c>
      <c r="D13" s="12"/>
      <c r="E13" s="12">
        <v>3</v>
      </c>
      <c r="F13" s="10">
        <f t="shared" si="0"/>
        <v>129</v>
      </c>
      <c r="G13" s="12"/>
      <c r="H13" s="12">
        <v>20</v>
      </c>
      <c r="I13" s="12">
        <v>1</v>
      </c>
      <c r="J13" s="10">
        <f t="shared" si="1"/>
        <v>108</v>
      </c>
      <c r="K13" s="12"/>
    </row>
    <row r="14" spans="1:11" ht="18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26</v>
      </c>
      <c r="D14" s="12"/>
      <c r="E14" s="12"/>
      <c r="F14" s="10">
        <f t="shared" si="0"/>
        <v>26</v>
      </c>
      <c r="G14" s="12"/>
      <c r="H14" s="12"/>
      <c r="I14" s="12"/>
      <c r="J14" s="10">
        <f t="shared" si="1"/>
        <v>26</v>
      </c>
      <c r="K14" s="12"/>
    </row>
    <row r="15" spans="1:11" ht="18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34</v>
      </c>
      <c r="D15" s="12"/>
      <c r="E15" s="12"/>
      <c r="F15" s="10">
        <f t="shared" si="0"/>
        <v>34</v>
      </c>
      <c r="G15" s="12"/>
      <c r="H15" s="12"/>
      <c r="I15" s="12"/>
      <c r="J15" s="10">
        <f t="shared" si="1"/>
        <v>34</v>
      </c>
      <c r="K15" s="12"/>
    </row>
    <row r="16" spans="1:11" ht="18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88</v>
      </c>
      <c r="D16" s="12"/>
      <c r="E16" s="12"/>
      <c r="F16" s="10">
        <f t="shared" si="0"/>
        <v>88</v>
      </c>
      <c r="G16" s="12"/>
      <c r="H16" s="12"/>
      <c r="I16" s="12"/>
      <c r="J16" s="10">
        <f t="shared" si="1"/>
        <v>88</v>
      </c>
      <c r="K16" s="12"/>
    </row>
    <row r="17" spans="1:11" ht="18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141</v>
      </c>
      <c r="D17" s="12"/>
      <c r="E17" s="12"/>
      <c r="F17" s="10">
        <f t="shared" si="0"/>
        <v>141</v>
      </c>
      <c r="G17" s="12"/>
      <c r="H17" s="12">
        <v>15</v>
      </c>
      <c r="I17" s="12"/>
      <c r="J17" s="10">
        <f t="shared" si="1"/>
        <v>126</v>
      </c>
      <c r="K17" s="12"/>
    </row>
    <row r="18" spans="1:11" ht="18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48</v>
      </c>
      <c r="D18" s="12"/>
      <c r="E18" s="12"/>
      <c r="F18" s="10">
        <f t="shared" si="0"/>
        <v>48</v>
      </c>
      <c r="G18" s="12"/>
      <c r="H18" s="12"/>
      <c r="I18" s="12"/>
      <c r="J18" s="10">
        <f t="shared" si="1"/>
        <v>48</v>
      </c>
      <c r="K18" s="12"/>
    </row>
    <row r="19" spans="1:11" ht="18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12"/>
    </row>
    <row r="20" spans="1:11" ht="18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3"/>
      <c r="E20" s="13"/>
      <c r="F20" s="10">
        <f t="shared" si="0"/>
        <v>0</v>
      </c>
      <c r="G20" s="13"/>
      <c r="H20" s="13"/>
      <c r="I20" s="13"/>
      <c r="J20" s="10">
        <f t="shared" si="1"/>
        <v>0</v>
      </c>
      <c r="K20" s="13"/>
    </row>
    <row r="21" spans="1:11" ht="18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0</v>
      </c>
      <c r="D21" s="12"/>
      <c r="E21" s="12"/>
      <c r="F21" s="10">
        <f t="shared" si="0"/>
        <v>0</v>
      </c>
      <c r="G21" s="12"/>
      <c r="H21" s="12"/>
      <c r="I21" s="12"/>
      <c r="J21" s="10">
        <f t="shared" si="1"/>
        <v>0</v>
      </c>
      <c r="K21" s="12"/>
    </row>
    <row r="22" spans="1:11" ht="18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70</v>
      </c>
      <c r="D22" s="12"/>
      <c r="E22" s="12"/>
      <c r="F22" s="10">
        <f t="shared" si="0"/>
        <v>70</v>
      </c>
      <c r="G22" s="12"/>
      <c r="H22" s="12">
        <v>2</v>
      </c>
      <c r="I22" s="12"/>
      <c r="J22" s="10">
        <f t="shared" si="1"/>
        <v>68</v>
      </c>
      <c r="K22" s="12"/>
    </row>
    <row r="23" spans="1:11" ht="18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0</v>
      </c>
      <c r="D23" s="12"/>
      <c r="E23" s="12"/>
      <c r="F23" s="10">
        <f t="shared" si="0"/>
        <v>0</v>
      </c>
      <c r="G23" s="12"/>
      <c r="H23" s="12"/>
      <c r="I23" s="12"/>
      <c r="J23" s="10">
        <f t="shared" si="1"/>
        <v>0</v>
      </c>
      <c r="K23" s="12"/>
    </row>
    <row r="24" spans="1:11" ht="18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5">
        <v>14</v>
      </c>
      <c r="D24" s="12"/>
      <c r="E24" s="12"/>
      <c r="F24" s="10">
        <f t="shared" si="0"/>
        <v>14</v>
      </c>
      <c r="G24" s="12"/>
      <c r="H24" s="12"/>
      <c r="I24" s="12"/>
      <c r="J24" s="10">
        <f t="shared" si="1"/>
        <v>14</v>
      </c>
      <c r="K24" s="12"/>
    </row>
    <row r="25" spans="1:11" ht="18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5">
        <f>28/2</f>
        <v>14</v>
      </c>
      <c r="D25" s="12"/>
      <c r="E25" s="12"/>
      <c r="F25" s="10">
        <f t="shared" si="0"/>
        <v>14</v>
      </c>
      <c r="G25" s="12"/>
      <c r="H25" s="12"/>
      <c r="I25" s="12"/>
      <c r="J25" s="10">
        <f t="shared" si="1"/>
        <v>14</v>
      </c>
      <c r="K25" s="12"/>
    </row>
    <row r="26" spans="1:11" ht="18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5">
        <v>80</v>
      </c>
      <c r="D26" s="12"/>
      <c r="E26" s="12"/>
      <c r="F26" s="10">
        <f t="shared" si="0"/>
        <v>80</v>
      </c>
      <c r="G26" s="12"/>
      <c r="H26" s="12"/>
      <c r="I26" s="12"/>
      <c r="J26" s="10">
        <f t="shared" si="1"/>
        <v>80</v>
      </c>
      <c r="K26" s="12"/>
    </row>
    <row r="27" spans="1:11" ht="18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38</v>
      </c>
      <c r="D27" s="12"/>
      <c r="E27" s="12">
        <v>4</v>
      </c>
      <c r="F27" s="10">
        <f t="shared" si="0"/>
        <v>42</v>
      </c>
      <c r="G27" s="12"/>
      <c r="H27" s="12"/>
      <c r="I27" s="12"/>
      <c r="J27" s="10">
        <f t="shared" si="1"/>
        <v>42</v>
      </c>
      <c r="K27" s="12"/>
    </row>
    <row r="28" spans="1:11" ht="18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0</v>
      </c>
      <c r="D28" s="12"/>
      <c r="E28" s="12"/>
      <c r="F28" s="10">
        <f t="shared" si="0"/>
        <v>0</v>
      </c>
      <c r="G28" s="12"/>
      <c r="H28" s="12"/>
      <c r="I28" s="12"/>
      <c r="J28" s="10">
        <f t="shared" si="1"/>
        <v>0</v>
      </c>
      <c r="K28" s="12"/>
    </row>
    <row r="29" spans="1:11" ht="18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95</v>
      </c>
      <c r="D29" s="12"/>
      <c r="E29" s="12">
        <v>2</v>
      </c>
      <c r="F29" s="10">
        <f t="shared" si="0"/>
        <v>97</v>
      </c>
      <c r="G29" s="12"/>
      <c r="H29" s="12"/>
      <c r="I29" s="12"/>
      <c r="J29" s="10">
        <f t="shared" si="1"/>
        <v>97</v>
      </c>
      <c r="K29" s="12"/>
    </row>
    <row r="30" spans="1:11" ht="18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8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/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14"/>
    </row>
    <row r="32" spans="1:11" ht="18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36</v>
      </c>
      <c r="D32" s="12"/>
      <c r="E32" s="12"/>
      <c r="F32" s="10">
        <f t="shared" si="0"/>
        <v>36</v>
      </c>
      <c r="G32" s="12"/>
      <c r="H32" s="12">
        <v>3</v>
      </c>
      <c r="I32" s="12"/>
      <c r="J32" s="10">
        <f t="shared" si="1"/>
        <v>33</v>
      </c>
      <c r="K32" s="12"/>
    </row>
    <row r="33" spans="1:11" ht="18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374</v>
      </c>
      <c r="D33" s="12"/>
      <c r="E33" s="12"/>
      <c r="F33" s="10">
        <f t="shared" si="0"/>
        <v>374</v>
      </c>
      <c r="G33" s="12"/>
      <c r="H33" s="12">
        <v>50</v>
      </c>
      <c r="I33" s="12">
        <v>2</v>
      </c>
      <c r="J33" s="10">
        <f t="shared" si="1"/>
        <v>322</v>
      </c>
      <c r="K33" s="12"/>
    </row>
    <row r="34" spans="1:11" ht="18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55</v>
      </c>
      <c r="D34" s="12"/>
      <c r="E34" s="12"/>
      <c r="F34" s="10">
        <f t="shared" si="0"/>
        <v>55</v>
      </c>
      <c r="G34" s="12"/>
      <c r="H34" s="12"/>
      <c r="I34" s="12"/>
      <c r="J34" s="10">
        <f t="shared" si="1"/>
        <v>55</v>
      </c>
      <c r="K34" s="12"/>
    </row>
    <row r="35" spans="1:11" ht="18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48</v>
      </c>
      <c r="D35" s="12"/>
      <c r="E35" s="12">
        <v>4</v>
      </c>
      <c r="F35" s="10">
        <f t="shared" si="0"/>
        <v>52</v>
      </c>
      <c r="G35" s="12"/>
      <c r="H35" s="12"/>
      <c r="I35" s="12"/>
      <c r="J35" s="10">
        <f t="shared" si="1"/>
        <v>52</v>
      </c>
      <c r="K35" s="12"/>
    </row>
    <row r="36" spans="1:11" ht="18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71</v>
      </c>
      <c r="D36" s="12"/>
      <c r="E36" s="12"/>
      <c r="F36" s="10">
        <f t="shared" si="0"/>
        <v>71</v>
      </c>
      <c r="G36" s="12"/>
      <c r="H36" s="12"/>
      <c r="I36" s="12"/>
      <c r="J36" s="10">
        <f t="shared" si="1"/>
        <v>71</v>
      </c>
      <c r="K36" s="12"/>
    </row>
    <row r="37" spans="1:11" ht="18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89</v>
      </c>
      <c r="D37" s="12"/>
      <c r="E37" s="12"/>
      <c r="F37" s="10">
        <f t="shared" si="0"/>
        <v>89</v>
      </c>
      <c r="G37" s="12"/>
      <c r="H37" s="12"/>
      <c r="I37" s="12"/>
      <c r="J37" s="10">
        <f t="shared" si="1"/>
        <v>89</v>
      </c>
      <c r="K37" s="12"/>
    </row>
    <row r="38" spans="1:11" ht="18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20</v>
      </c>
      <c r="D38" s="12"/>
      <c r="E38" s="12"/>
      <c r="F38" s="10">
        <f t="shared" si="0"/>
        <v>20</v>
      </c>
      <c r="G38" s="12"/>
      <c r="H38" s="12"/>
      <c r="I38" s="12"/>
      <c r="J38" s="10">
        <f t="shared" si="1"/>
        <v>20</v>
      </c>
      <c r="K38" s="12"/>
    </row>
    <row r="39" spans="1:11" ht="18" customHeight="1" x14ac:dyDescent="0.25">
      <c r="A39" s="15"/>
      <c r="B39" s="16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18" customHeight="1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8" customHeight="1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8" customHeight="1" x14ac:dyDescent="0.25">
      <c r="A42" s="19" t="s">
        <v>60</v>
      </c>
      <c r="B42" s="19"/>
      <c r="C42" s="19"/>
      <c r="D42" s="19"/>
      <c r="E42" s="19"/>
      <c r="F42" s="19"/>
      <c r="G42" s="19"/>
      <c r="H42" s="20"/>
      <c r="I42" s="19"/>
      <c r="J42" s="19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2" right="0.12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zoomScale="85" zoomScaleNormal="85" workbookViewId="0">
      <selection activeCell="C38" sqref="C38"/>
    </sheetView>
  </sheetViews>
  <sheetFormatPr defaultRowHeight="15" x14ac:dyDescent="0.25"/>
  <cols>
    <col min="1" max="1" width="18.42578125" customWidth="1"/>
    <col min="2" max="2" width="8.85546875" customWidth="1"/>
    <col min="3" max="3" width="8.42578125" customWidth="1"/>
    <col min="5" max="5" width="8.28515625" customWidth="1"/>
    <col min="6" max="6" width="8.42578125" customWidth="1"/>
    <col min="7" max="7" width="8.28515625" customWidth="1"/>
    <col min="8" max="8" width="7.85546875" customWidth="1"/>
    <col min="9" max="9" width="7.28515625" customWidth="1"/>
    <col min="11" max="11" width="8.28515625" customWidth="1"/>
  </cols>
  <sheetData>
    <row r="1" spans="1:11" ht="27" x14ac:dyDescent="0.25">
      <c r="A1" s="55" t="s">
        <v>14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25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8" x14ac:dyDescent="0.25">
      <c r="A3" s="57" t="s">
        <v>16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x14ac:dyDescent="0.2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64</v>
      </c>
    </row>
    <row r="5" spans="1:11" ht="18" customHeight="1" x14ac:dyDescent="0.25">
      <c r="A5" s="6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4" t="s">
        <v>26</v>
      </c>
    </row>
    <row r="6" spans="1:11" ht="18" customHeight="1" x14ac:dyDescent="0.25">
      <c r="A6" s="6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5"/>
    </row>
    <row r="7" spans="1:11" ht="18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0</v>
      </c>
      <c r="D7" s="10"/>
      <c r="E7" s="10"/>
      <c r="F7" s="10">
        <f>C7+D7+E7</f>
        <v>0</v>
      </c>
      <c r="G7" s="10"/>
      <c r="H7" s="10"/>
      <c r="I7" s="10"/>
      <c r="J7" s="10">
        <f>F7-G7-H7-I7</f>
        <v>0</v>
      </c>
      <c r="K7" s="10"/>
    </row>
    <row r="8" spans="1:11" ht="18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5">
        <v>150</v>
      </c>
      <c r="D8" s="12"/>
      <c r="E8" s="12"/>
      <c r="F8" s="10">
        <f t="shared" ref="F8:F38" si="0">C8+D8+E8</f>
        <v>150</v>
      </c>
      <c r="G8" s="12"/>
      <c r="H8" s="12"/>
      <c r="I8" s="12"/>
      <c r="J8" s="10">
        <f t="shared" ref="J8:J38" si="1">F8-G8-H8-I8</f>
        <v>150</v>
      </c>
      <c r="K8" s="12"/>
    </row>
    <row r="9" spans="1:11" ht="18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167</v>
      </c>
      <c r="D9" s="12"/>
      <c r="E9" s="12"/>
      <c r="F9" s="10">
        <f t="shared" si="0"/>
        <v>167</v>
      </c>
      <c r="G9" s="12"/>
      <c r="H9" s="12">
        <v>20</v>
      </c>
      <c r="I9" s="12"/>
      <c r="J9" s="10">
        <f t="shared" si="1"/>
        <v>147</v>
      </c>
      <c r="K9" s="12"/>
    </row>
    <row r="10" spans="1:11" ht="18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5">
        <v>101</v>
      </c>
      <c r="D10" s="12"/>
      <c r="E10" s="12"/>
      <c r="F10" s="10">
        <f t="shared" si="0"/>
        <v>101</v>
      </c>
      <c r="G10" s="12"/>
      <c r="H10" s="12"/>
      <c r="I10" s="12"/>
      <c r="J10" s="10">
        <f t="shared" si="1"/>
        <v>101</v>
      </c>
      <c r="K10" s="12"/>
    </row>
    <row r="11" spans="1:11" ht="18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124</v>
      </c>
      <c r="D11" s="12"/>
      <c r="E11" s="12"/>
      <c r="F11" s="10">
        <f t="shared" si="0"/>
        <v>124</v>
      </c>
      <c r="G11" s="12"/>
      <c r="H11" s="12"/>
      <c r="I11" s="12"/>
      <c r="J11" s="10">
        <f t="shared" si="1"/>
        <v>124</v>
      </c>
      <c r="K11" s="12"/>
    </row>
    <row r="12" spans="1:11" ht="18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148</v>
      </c>
      <c r="D12" s="12"/>
      <c r="E12" s="12">
        <v>167</v>
      </c>
      <c r="F12" s="10">
        <f t="shared" si="0"/>
        <v>315</v>
      </c>
      <c r="G12" s="12"/>
      <c r="H12" s="12">
        <v>21</v>
      </c>
      <c r="I12" s="12"/>
      <c r="J12" s="10">
        <f t="shared" si="1"/>
        <v>294</v>
      </c>
      <c r="K12" s="12"/>
    </row>
    <row r="13" spans="1:11" ht="18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64</v>
      </c>
      <c r="D13" s="12"/>
      <c r="E13" s="12"/>
      <c r="F13" s="10">
        <f t="shared" si="0"/>
        <v>64</v>
      </c>
      <c r="G13" s="12"/>
      <c r="H13" s="12"/>
      <c r="I13" s="12"/>
      <c r="J13" s="10">
        <f t="shared" si="1"/>
        <v>64</v>
      </c>
      <c r="K13" s="12"/>
    </row>
    <row r="14" spans="1:11" ht="18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154</v>
      </c>
      <c r="D14" s="12"/>
      <c r="E14" s="12"/>
      <c r="F14" s="10">
        <f t="shared" si="0"/>
        <v>154</v>
      </c>
      <c r="G14" s="12"/>
      <c r="H14" s="12">
        <v>51</v>
      </c>
      <c r="I14" s="12"/>
      <c r="J14" s="10">
        <f t="shared" si="1"/>
        <v>103</v>
      </c>
      <c r="K14" s="12"/>
    </row>
    <row r="15" spans="1:11" ht="18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32</v>
      </c>
      <c r="D15" s="12"/>
      <c r="E15" s="12"/>
      <c r="F15" s="10">
        <f t="shared" si="0"/>
        <v>32</v>
      </c>
      <c r="G15" s="12"/>
      <c r="H15" s="12"/>
      <c r="I15" s="12"/>
      <c r="J15" s="10">
        <f t="shared" si="1"/>
        <v>32</v>
      </c>
      <c r="K15" s="12"/>
    </row>
    <row r="16" spans="1:11" ht="18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19</v>
      </c>
      <c r="D16" s="12"/>
      <c r="E16" s="12"/>
      <c r="F16" s="10">
        <f t="shared" si="0"/>
        <v>19</v>
      </c>
      <c r="G16" s="12"/>
      <c r="H16" s="12"/>
      <c r="I16" s="12"/>
      <c r="J16" s="10">
        <f t="shared" si="1"/>
        <v>19</v>
      </c>
      <c r="K16" s="12"/>
    </row>
    <row r="17" spans="1:11" ht="18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156</v>
      </c>
      <c r="D17" s="12">
        <v>225</v>
      </c>
      <c r="E17" s="12"/>
      <c r="F17" s="10">
        <f t="shared" si="0"/>
        <v>381</v>
      </c>
      <c r="G17" s="12"/>
      <c r="H17" s="12">
        <v>315</v>
      </c>
      <c r="I17" s="12"/>
      <c r="J17" s="10">
        <f t="shared" si="1"/>
        <v>66</v>
      </c>
      <c r="K17" s="12"/>
    </row>
    <row r="18" spans="1:11" ht="18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5">
        <v>192</v>
      </c>
      <c r="D18" s="12"/>
      <c r="E18" s="12"/>
      <c r="F18" s="10">
        <f t="shared" si="0"/>
        <v>192</v>
      </c>
      <c r="G18" s="12"/>
      <c r="H18" s="12"/>
      <c r="I18" s="12"/>
      <c r="J18" s="10">
        <f t="shared" si="1"/>
        <v>192</v>
      </c>
      <c r="K18" s="12"/>
    </row>
    <row r="19" spans="1:11" ht="18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12"/>
    </row>
    <row r="20" spans="1:11" ht="18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3"/>
      <c r="E20" s="13"/>
      <c r="F20" s="10">
        <f t="shared" si="0"/>
        <v>0</v>
      </c>
      <c r="G20" s="13"/>
      <c r="H20" s="13"/>
      <c r="I20" s="13"/>
      <c r="J20" s="10">
        <f t="shared" si="1"/>
        <v>0</v>
      </c>
      <c r="K20" s="13"/>
    </row>
    <row r="21" spans="1:11" ht="18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39</v>
      </c>
      <c r="D21" s="12"/>
      <c r="E21" s="12"/>
      <c r="F21" s="10">
        <f t="shared" si="0"/>
        <v>39</v>
      </c>
      <c r="G21" s="12"/>
      <c r="H21" s="12"/>
      <c r="I21" s="12"/>
      <c r="J21" s="10">
        <f t="shared" si="1"/>
        <v>39</v>
      </c>
      <c r="K21" s="12"/>
    </row>
    <row r="22" spans="1:11" ht="18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0</v>
      </c>
      <c r="D22" s="12"/>
      <c r="E22" s="12"/>
      <c r="F22" s="10">
        <f t="shared" si="0"/>
        <v>0</v>
      </c>
      <c r="G22" s="12"/>
      <c r="H22" s="12"/>
      <c r="I22" s="12"/>
      <c r="J22" s="10">
        <f t="shared" si="1"/>
        <v>0</v>
      </c>
      <c r="K22" s="12"/>
    </row>
    <row r="23" spans="1:11" ht="18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38</v>
      </c>
      <c r="D23" s="12"/>
      <c r="E23" s="12">
        <v>95</v>
      </c>
      <c r="F23" s="10">
        <f t="shared" si="0"/>
        <v>133</v>
      </c>
      <c r="G23" s="12"/>
      <c r="H23" s="12">
        <v>5</v>
      </c>
      <c r="I23" s="12"/>
      <c r="J23" s="10">
        <f t="shared" si="1"/>
        <v>128</v>
      </c>
      <c r="K23" s="12"/>
    </row>
    <row r="24" spans="1:11" ht="18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30</v>
      </c>
      <c r="D24" s="12"/>
      <c r="E24" s="12"/>
      <c r="F24" s="10">
        <f t="shared" si="0"/>
        <v>30</v>
      </c>
      <c r="G24" s="12"/>
      <c r="H24" s="12"/>
      <c r="I24" s="12"/>
      <c r="J24" s="10">
        <f t="shared" si="1"/>
        <v>30</v>
      </c>
      <c r="K24" s="12"/>
    </row>
    <row r="25" spans="1:11" ht="18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86.5</v>
      </c>
      <c r="D25" s="12"/>
      <c r="E25" s="12"/>
      <c r="F25" s="10">
        <f t="shared" si="0"/>
        <v>86.5</v>
      </c>
      <c r="G25" s="12"/>
      <c r="H25" s="12"/>
      <c r="I25" s="12"/>
      <c r="J25" s="10">
        <f t="shared" si="1"/>
        <v>86.5</v>
      </c>
      <c r="K25" s="12"/>
    </row>
    <row r="26" spans="1:11" ht="18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134</v>
      </c>
      <c r="D26" s="12"/>
      <c r="E26" s="12"/>
      <c r="F26" s="10">
        <f t="shared" si="0"/>
        <v>134</v>
      </c>
      <c r="G26" s="12"/>
      <c r="H26" s="12"/>
      <c r="I26" s="12"/>
      <c r="J26" s="10">
        <f t="shared" si="1"/>
        <v>134</v>
      </c>
      <c r="K26" s="12"/>
    </row>
    <row r="27" spans="1:11" ht="18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155</v>
      </c>
      <c r="D27" s="12"/>
      <c r="E27" s="12">
        <v>61</v>
      </c>
      <c r="F27" s="10">
        <f t="shared" si="0"/>
        <v>216</v>
      </c>
      <c r="G27" s="12"/>
      <c r="H27" s="12">
        <v>21</v>
      </c>
      <c r="I27" s="12"/>
      <c r="J27" s="10">
        <f t="shared" si="1"/>
        <v>195</v>
      </c>
      <c r="K27" s="12"/>
    </row>
    <row r="28" spans="1:11" ht="18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37</v>
      </c>
      <c r="D28" s="12"/>
      <c r="E28" s="12"/>
      <c r="F28" s="10">
        <f t="shared" si="0"/>
        <v>37</v>
      </c>
      <c r="G28" s="12"/>
      <c r="H28" s="12"/>
      <c r="I28" s="12"/>
      <c r="J28" s="10">
        <f t="shared" si="1"/>
        <v>37</v>
      </c>
      <c r="K28" s="12"/>
    </row>
    <row r="29" spans="1:11" ht="18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5">
        <v>123</v>
      </c>
      <c r="D29" s="12"/>
      <c r="E29" s="12"/>
      <c r="F29" s="10">
        <f t="shared" si="0"/>
        <v>123</v>
      </c>
      <c r="G29" s="12"/>
      <c r="H29" s="12">
        <v>36</v>
      </c>
      <c r="I29" s="12"/>
      <c r="J29" s="10">
        <f t="shared" si="1"/>
        <v>87</v>
      </c>
      <c r="K29" s="12"/>
    </row>
    <row r="30" spans="1:11" ht="18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8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>
        <v>0</v>
      </c>
      <c r="D31" s="14"/>
      <c r="E31" s="14"/>
      <c r="F31" s="10">
        <f t="shared" si="0"/>
        <v>0</v>
      </c>
      <c r="G31" s="14"/>
      <c r="H31" s="14"/>
      <c r="I31" s="14"/>
      <c r="J31" s="10">
        <f t="shared" si="1"/>
        <v>0</v>
      </c>
      <c r="K31" s="14"/>
    </row>
    <row r="32" spans="1:11" ht="18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64</v>
      </c>
      <c r="D32" s="12"/>
      <c r="E32" s="12"/>
      <c r="F32" s="10">
        <f t="shared" si="0"/>
        <v>64</v>
      </c>
      <c r="G32" s="12"/>
      <c r="H32" s="12">
        <v>15</v>
      </c>
      <c r="I32" s="12"/>
      <c r="J32" s="10">
        <f t="shared" si="1"/>
        <v>49</v>
      </c>
      <c r="K32" s="12"/>
    </row>
    <row r="33" spans="1:11" ht="18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v>91</v>
      </c>
      <c r="D33" s="12"/>
      <c r="E33" s="12"/>
      <c r="F33" s="10">
        <f t="shared" si="0"/>
        <v>91</v>
      </c>
      <c r="G33" s="12"/>
      <c r="H33" s="12"/>
      <c r="I33" s="12"/>
      <c r="J33" s="10">
        <f t="shared" si="1"/>
        <v>91</v>
      </c>
      <c r="K33" s="12"/>
    </row>
    <row r="34" spans="1:11" ht="18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5">
        <v>215</v>
      </c>
      <c r="D34" s="12"/>
      <c r="E34" s="12"/>
      <c r="F34" s="10">
        <f t="shared" si="0"/>
        <v>215</v>
      </c>
      <c r="G34" s="12"/>
      <c r="H34" s="12"/>
      <c r="I34" s="12"/>
      <c r="J34" s="10">
        <f t="shared" si="1"/>
        <v>215</v>
      </c>
      <c r="K34" s="12"/>
    </row>
    <row r="35" spans="1:11" ht="18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94</v>
      </c>
      <c r="D35" s="12"/>
      <c r="E35" s="12"/>
      <c r="F35" s="10">
        <f t="shared" si="0"/>
        <v>94</v>
      </c>
      <c r="G35" s="12"/>
      <c r="H35" s="12"/>
      <c r="I35" s="12"/>
      <c r="J35" s="10">
        <f t="shared" si="1"/>
        <v>94</v>
      </c>
      <c r="K35" s="12"/>
    </row>
    <row r="36" spans="1:11" ht="18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5">
        <v>175</v>
      </c>
      <c r="D36" s="12"/>
      <c r="E36" s="12"/>
      <c r="F36" s="10">
        <f t="shared" si="0"/>
        <v>175</v>
      </c>
      <c r="G36" s="12"/>
      <c r="H36" s="12">
        <v>45</v>
      </c>
      <c r="I36" s="12"/>
      <c r="J36" s="10">
        <f t="shared" si="1"/>
        <v>130</v>
      </c>
      <c r="K36" s="12"/>
    </row>
    <row r="37" spans="1:11" ht="18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0</v>
      </c>
      <c r="D37" s="12"/>
      <c r="E37" s="12"/>
      <c r="F37" s="10">
        <f t="shared" si="0"/>
        <v>0</v>
      </c>
      <c r="G37" s="12"/>
      <c r="H37" s="12"/>
      <c r="I37" s="12"/>
      <c r="J37" s="10">
        <f t="shared" si="1"/>
        <v>0</v>
      </c>
      <c r="K37" s="12"/>
    </row>
    <row r="38" spans="1:11" ht="18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5">
        <v>71</v>
      </c>
      <c r="D38" s="12"/>
      <c r="E38" s="12">
        <v>58</v>
      </c>
      <c r="F38" s="10">
        <f t="shared" si="0"/>
        <v>129</v>
      </c>
      <c r="G38" s="12"/>
      <c r="H38" s="12"/>
      <c r="I38" s="12"/>
      <c r="J38" s="10">
        <f t="shared" si="1"/>
        <v>129</v>
      </c>
      <c r="K38" s="12"/>
    </row>
    <row r="39" spans="1:11" ht="18" customHeight="1" x14ac:dyDescent="0.25">
      <c r="A39" s="7"/>
      <c r="B39" s="8"/>
      <c r="C39" s="11"/>
      <c r="D39" s="11"/>
      <c r="E39" s="11"/>
      <c r="F39" s="10"/>
      <c r="G39" s="11"/>
      <c r="H39" s="11"/>
      <c r="I39" s="11"/>
      <c r="J39" s="10"/>
      <c r="K39" s="11"/>
    </row>
    <row r="40" spans="1:11" ht="18" customHeight="1" x14ac:dyDescent="0.25">
      <c r="A40" s="7"/>
      <c r="B40" s="8"/>
      <c r="C40" s="11"/>
      <c r="D40" s="11"/>
      <c r="E40" s="11"/>
      <c r="F40" s="10"/>
      <c r="G40" s="11"/>
      <c r="H40" s="11"/>
      <c r="I40" s="11"/>
      <c r="J40" s="10"/>
      <c r="K40" s="11"/>
    </row>
    <row r="41" spans="1:11" ht="18" customHeight="1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8" customHeight="1" x14ac:dyDescent="0.25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8" customHeight="1" x14ac:dyDescent="0.25">
      <c r="A43" s="19" t="s">
        <v>60</v>
      </c>
      <c r="B43" s="19"/>
      <c r="C43" s="19"/>
      <c r="D43" s="19"/>
      <c r="E43" s="19"/>
      <c r="F43" s="19"/>
      <c r="G43" s="19"/>
      <c r="H43" s="20"/>
      <c r="I43" s="19"/>
      <c r="J43" s="19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2"/>
  <sheetViews>
    <sheetView tabSelected="1" workbookViewId="0">
      <selection activeCell="K8" sqref="K8"/>
    </sheetView>
  </sheetViews>
  <sheetFormatPr defaultRowHeight="15" x14ac:dyDescent="0.25"/>
  <cols>
    <col min="1" max="1" width="18.8554687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9" width="8" customWidth="1"/>
  </cols>
  <sheetData>
    <row r="1" spans="1:11" ht="27" x14ac:dyDescent="0.25">
      <c r="A1" s="55" t="s">
        <v>14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x14ac:dyDescent="0.25">
      <c r="A2" s="56" t="s">
        <v>15</v>
      </c>
      <c r="B2" s="56"/>
      <c r="C2" s="56"/>
      <c r="D2" s="56"/>
      <c r="E2" s="56"/>
      <c r="F2" s="56"/>
      <c r="G2" s="56"/>
      <c r="H2" s="56"/>
      <c r="I2" s="56"/>
      <c r="J2" s="56"/>
      <c r="K2" s="56"/>
    </row>
    <row r="3" spans="1:11" ht="18" x14ac:dyDescent="0.25">
      <c r="A3" s="57" t="s">
        <v>16</v>
      </c>
      <c r="B3" s="57"/>
      <c r="C3" s="57"/>
      <c r="D3" s="57"/>
      <c r="E3" s="57"/>
      <c r="F3" s="57"/>
      <c r="G3" s="57"/>
      <c r="H3" s="57"/>
      <c r="I3" s="57"/>
      <c r="J3" s="57"/>
      <c r="K3" s="57"/>
    </row>
    <row r="4" spans="1:11" x14ac:dyDescent="0.25">
      <c r="A4" s="1" t="s">
        <v>77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 x14ac:dyDescent="0.25">
      <c r="A5" s="6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64" t="s">
        <v>26</v>
      </c>
    </row>
    <row r="6" spans="1:11" ht="18" customHeight="1" x14ac:dyDescent="0.25">
      <c r="A6" s="6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65"/>
    </row>
    <row r="7" spans="1:11" ht="18" customHeight="1" x14ac:dyDescent="0.25">
      <c r="A7" s="7" t="str">
        <f>'Company Stock '!A8</f>
        <v xml:space="preserve">Aqua Amla </v>
      </c>
      <c r="B7" s="8" t="str">
        <f>'Company Stock '!B8</f>
        <v xml:space="preserve">100gm </v>
      </c>
      <c r="C7" s="9">
        <v>0</v>
      </c>
      <c r="D7" s="10"/>
      <c r="E7" s="10"/>
      <c r="F7" s="10">
        <f>C7+D7+E7</f>
        <v>0</v>
      </c>
      <c r="G7" s="10"/>
      <c r="H7" s="10"/>
      <c r="I7" s="10"/>
      <c r="J7" s="10">
        <f>F7-G7-H7-I7</f>
        <v>0</v>
      </c>
      <c r="K7" s="10"/>
    </row>
    <row r="8" spans="1:11" ht="18" customHeight="1" x14ac:dyDescent="0.25">
      <c r="A8" s="7" t="str">
        <f>'Company Stock '!A9</f>
        <v xml:space="preserve">Aqua Amla </v>
      </c>
      <c r="B8" s="8" t="str">
        <f>'Company Stock '!B9</f>
        <v>500gm</v>
      </c>
      <c r="C8" s="11">
        <v>80</v>
      </c>
      <c r="D8" s="12"/>
      <c r="E8" s="12"/>
      <c r="F8" s="10">
        <f t="shared" ref="F8:F38" si="0">C8+D8+E8</f>
        <v>80</v>
      </c>
      <c r="G8" s="12"/>
      <c r="H8" s="12"/>
      <c r="I8" s="12"/>
      <c r="J8" s="10">
        <f t="shared" ref="J8:J38" si="1">F8-G8-H8-I8</f>
        <v>80</v>
      </c>
      <c r="K8" s="12"/>
    </row>
    <row r="9" spans="1:11" ht="18" customHeight="1" x14ac:dyDescent="0.25">
      <c r="A9" s="7" t="str">
        <f>'Company Stock '!A10</f>
        <v xml:space="preserve">Aqua Milk Premium </v>
      </c>
      <c r="B9" s="8" t="str">
        <f>'Company Stock '!B10</f>
        <v>500gm</v>
      </c>
      <c r="C9" s="11">
        <v>80</v>
      </c>
      <c r="D9" s="12"/>
      <c r="E9" s="12"/>
      <c r="F9" s="10">
        <f t="shared" si="0"/>
        <v>80</v>
      </c>
      <c r="G9" s="12"/>
      <c r="H9" s="12"/>
      <c r="I9" s="12"/>
      <c r="J9" s="10">
        <f t="shared" si="1"/>
        <v>80</v>
      </c>
      <c r="K9" s="12"/>
    </row>
    <row r="10" spans="1:11" ht="18" customHeight="1" x14ac:dyDescent="0.25">
      <c r="A10" s="7" t="str">
        <f>'Company Stock '!A11</f>
        <v xml:space="preserve">Aqua Safe Plus </v>
      </c>
      <c r="B10" s="8" t="str">
        <f>'Company Stock '!B11</f>
        <v>5kg</v>
      </c>
      <c r="C10" s="11">
        <v>44</v>
      </c>
      <c r="D10" s="12"/>
      <c r="E10" s="12"/>
      <c r="F10" s="10">
        <f t="shared" si="0"/>
        <v>44</v>
      </c>
      <c r="G10" s="12"/>
      <c r="H10" s="12">
        <v>8</v>
      </c>
      <c r="I10" s="12"/>
      <c r="J10" s="10">
        <f>F10-G10-H10-I10</f>
        <v>36</v>
      </c>
      <c r="K10" s="12"/>
    </row>
    <row r="11" spans="1:11" ht="18" customHeight="1" x14ac:dyDescent="0.25">
      <c r="A11" s="7" t="str">
        <f>'Company Stock '!A12</f>
        <v xml:space="preserve">Bencidal Plus </v>
      </c>
      <c r="B11" s="8" t="str">
        <f>'Company Stock '!B12</f>
        <v xml:space="preserve">100ml </v>
      </c>
      <c r="C11" s="11">
        <v>0</v>
      </c>
      <c r="D11" s="12"/>
      <c r="E11" s="12"/>
      <c r="F11" s="10">
        <f t="shared" si="0"/>
        <v>0</v>
      </c>
      <c r="G11" s="12"/>
      <c r="H11" s="12"/>
      <c r="I11" s="12"/>
      <c r="J11" s="10">
        <f t="shared" si="1"/>
        <v>0</v>
      </c>
      <c r="K11" s="12"/>
    </row>
    <row r="12" spans="1:11" ht="18" customHeight="1" x14ac:dyDescent="0.25">
      <c r="A12" s="7" t="str">
        <f>'Company Stock '!A13</f>
        <v xml:space="preserve">Bencidal Plus </v>
      </c>
      <c r="B12" s="8" t="str">
        <f>'Company Stock '!B13</f>
        <v xml:space="preserve">500ml </v>
      </c>
      <c r="C12" s="11">
        <v>115</v>
      </c>
      <c r="D12" s="12">
        <v>150</v>
      </c>
      <c r="E12" s="12"/>
      <c r="F12" s="10">
        <f t="shared" si="0"/>
        <v>265</v>
      </c>
      <c r="G12" s="12"/>
      <c r="H12" s="12">
        <v>157</v>
      </c>
      <c r="I12" s="12"/>
      <c r="J12" s="10">
        <f t="shared" si="1"/>
        <v>108</v>
      </c>
      <c r="K12" s="12"/>
    </row>
    <row r="13" spans="1:11" ht="18" customHeight="1" x14ac:dyDescent="0.25">
      <c r="A13" s="7" t="str">
        <f>'Company Stock '!A14</f>
        <v xml:space="preserve">Bottom Light </v>
      </c>
      <c r="B13" s="8" t="str">
        <f>'Company Stock '!B14</f>
        <v xml:space="preserve">100gm </v>
      </c>
      <c r="C13" s="11">
        <v>70</v>
      </c>
      <c r="D13" s="12"/>
      <c r="E13" s="12"/>
      <c r="F13" s="10">
        <f t="shared" si="0"/>
        <v>70</v>
      </c>
      <c r="G13" s="12"/>
      <c r="H13" s="12"/>
      <c r="I13" s="12"/>
      <c r="J13" s="10">
        <f t="shared" si="1"/>
        <v>70</v>
      </c>
      <c r="K13" s="12"/>
    </row>
    <row r="14" spans="1:11" ht="18" customHeight="1" x14ac:dyDescent="0.25">
      <c r="A14" s="7" t="str">
        <f>'Company Stock '!A15</f>
        <v xml:space="preserve">Bottom Light </v>
      </c>
      <c r="B14" s="8" t="str">
        <f>'Company Stock '!B15</f>
        <v xml:space="preserve">500gm </v>
      </c>
      <c r="C14" s="11">
        <v>76</v>
      </c>
      <c r="D14" s="12">
        <v>75</v>
      </c>
      <c r="E14" s="12"/>
      <c r="F14" s="10">
        <f t="shared" si="0"/>
        <v>151</v>
      </c>
      <c r="G14" s="12"/>
      <c r="H14" s="12"/>
      <c r="I14" s="12"/>
      <c r="J14" s="10">
        <f t="shared" si="1"/>
        <v>151</v>
      </c>
      <c r="K14" s="12"/>
    </row>
    <row r="15" spans="1:11" ht="18" customHeight="1" x14ac:dyDescent="0.25">
      <c r="A15" s="7" t="str">
        <f>'Company Stock '!A16</f>
        <v xml:space="preserve">Brood Plus </v>
      </c>
      <c r="B15" s="8" t="str">
        <f>'Company Stock '!B16</f>
        <v xml:space="preserve">500gm </v>
      </c>
      <c r="C15" s="11">
        <v>48</v>
      </c>
      <c r="D15" s="12"/>
      <c r="E15" s="12"/>
      <c r="F15" s="10">
        <f t="shared" si="0"/>
        <v>48</v>
      </c>
      <c r="G15" s="12"/>
      <c r="H15" s="12"/>
      <c r="I15" s="12"/>
      <c r="J15" s="10">
        <f t="shared" si="1"/>
        <v>48</v>
      </c>
      <c r="K15" s="12"/>
    </row>
    <row r="16" spans="1:11" ht="18" customHeight="1" x14ac:dyDescent="0.25">
      <c r="A16" s="7" t="str">
        <f>'Company Stock '!A17</f>
        <v xml:space="preserve">Eco Fresh </v>
      </c>
      <c r="B16" s="8" t="str">
        <f>'Company Stock '!B17</f>
        <v xml:space="preserve">1kg </v>
      </c>
      <c r="C16" s="11">
        <v>35</v>
      </c>
      <c r="D16" s="12"/>
      <c r="E16" s="12"/>
      <c r="F16" s="10">
        <f t="shared" si="0"/>
        <v>35</v>
      </c>
      <c r="G16" s="12"/>
      <c r="H16" s="12"/>
      <c r="I16" s="12"/>
      <c r="J16" s="10">
        <f t="shared" si="1"/>
        <v>35</v>
      </c>
      <c r="K16" s="12"/>
    </row>
    <row r="17" spans="1:11" ht="18" customHeight="1" x14ac:dyDescent="0.25">
      <c r="A17" s="7" t="str">
        <f>'Company Stock '!A18</f>
        <v xml:space="preserve">Eco Fresh Plus </v>
      </c>
      <c r="B17" s="8" t="str">
        <f>'Company Stock '!B18</f>
        <v xml:space="preserve">1kg </v>
      </c>
      <c r="C17" s="11">
        <v>135</v>
      </c>
      <c r="D17" s="12">
        <v>150</v>
      </c>
      <c r="E17" s="12"/>
      <c r="F17" s="10">
        <f t="shared" si="0"/>
        <v>285</v>
      </c>
      <c r="G17" s="12"/>
      <c r="H17" s="12">
        <v>165</v>
      </c>
      <c r="I17" s="12"/>
      <c r="J17" s="10">
        <f t="shared" si="1"/>
        <v>120</v>
      </c>
      <c r="K17" s="12"/>
    </row>
    <row r="18" spans="1:11" ht="18" customHeight="1" x14ac:dyDescent="0.25">
      <c r="A18" s="7" t="str">
        <f>'Company Stock '!A19</f>
        <v xml:space="preserve">Energy Flow </v>
      </c>
      <c r="B18" s="8" t="str">
        <f>'Company Stock '!B19</f>
        <v xml:space="preserve">500gm </v>
      </c>
      <c r="C18" s="11">
        <v>96</v>
      </c>
      <c r="D18" s="12"/>
      <c r="E18" s="12"/>
      <c r="F18" s="10">
        <f t="shared" si="0"/>
        <v>96</v>
      </c>
      <c r="G18" s="12"/>
      <c r="H18" s="12"/>
      <c r="I18" s="12"/>
      <c r="J18" s="10">
        <f t="shared" si="1"/>
        <v>96</v>
      </c>
      <c r="K18" s="12"/>
    </row>
    <row r="19" spans="1:11" ht="18" customHeight="1" x14ac:dyDescent="0.25">
      <c r="A19" s="7" t="str">
        <f>'Company Stock '!A20</f>
        <v xml:space="preserve">Enrosef </v>
      </c>
      <c r="B19" s="8" t="str">
        <f>'Company Stock '!B20</f>
        <v xml:space="preserve">100ml </v>
      </c>
      <c r="C19" s="11">
        <v>0</v>
      </c>
      <c r="D19" s="12"/>
      <c r="E19" s="12"/>
      <c r="F19" s="10">
        <f t="shared" si="0"/>
        <v>0</v>
      </c>
      <c r="G19" s="12"/>
      <c r="H19" s="12"/>
      <c r="I19" s="12"/>
      <c r="J19" s="10">
        <f t="shared" si="1"/>
        <v>0</v>
      </c>
      <c r="K19" s="12"/>
    </row>
    <row r="20" spans="1:11" ht="18" customHeight="1" x14ac:dyDescent="0.25">
      <c r="A20" s="7" t="str">
        <f>'Company Stock '!A21</f>
        <v xml:space="preserve">Enrosef </v>
      </c>
      <c r="B20" s="8" t="str">
        <f>'Company Stock '!B21</f>
        <v xml:space="preserve">500ml </v>
      </c>
      <c r="C20" s="11">
        <v>0</v>
      </c>
      <c r="D20" s="13"/>
      <c r="E20" s="13"/>
      <c r="F20" s="10">
        <f t="shared" si="0"/>
        <v>0</v>
      </c>
      <c r="G20" s="13"/>
      <c r="H20" s="13"/>
      <c r="I20" s="13"/>
      <c r="J20" s="10">
        <f t="shared" si="1"/>
        <v>0</v>
      </c>
      <c r="K20" s="13"/>
    </row>
    <row r="21" spans="1:11" ht="18" customHeight="1" x14ac:dyDescent="0.25">
      <c r="A21" s="7" t="str">
        <f>'Company Stock '!A22</f>
        <v xml:space="preserve">Erostep </v>
      </c>
      <c r="B21" s="8" t="str">
        <f>'Company Stock '!B22</f>
        <v xml:space="preserve">100gm </v>
      </c>
      <c r="C21" s="11">
        <v>0</v>
      </c>
      <c r="D21" s="12"/>
      <c r="E21" s="12"/>
      <c r="F21" s="10">
        <f t="shared" si="0"/>
        <v>0</v>
      </c>
      <c r="G21" s="12"/>
      <c r="H21" s="12"/>
      <c r="I21" s="12"/>
      <c r="J21" s="10">
        <f t="shared" si="1"/>
        <v>0</v>
      </c>
      <c r="K21" s="12"/>
    </row>
    <row r="22" spans="1:11" ht="18" customHeight="1" x14ac:dyDescent="0.25">
      <c r="A22" s="7" t="str">
        <f>'Company Stock '!A23</f>
        <v>Green Vita</v>
      </c>
      <c r="B22" s="8" t="str">
        <f>'Company Stock '!B23</f>
        <v>500gm</v>
      </c>
      <c r="C22" s="11">
        <v>0</v>
      </c>
      <c r="D22" s="12"/>
      <c r="E22" s="12"/>
      <c r="F22" s="10">
        <f t="shared" si="0"/>
        <v>0</v>
      </c>
      <c r="G22" s="12"/>
      <c r="H22" s="12"/>
      <c r="I22" s="12"/>
      <c r="J22" s="10">
        <f t="shared" si="1"/>
        <v>0</v>
      </c>
      <c r="K22" s="12"/>
    </row>
    <row r="23" spans="1:11" ht="18" customHeight="1" x14ac:dyDescent="0.25">
      <c r="A23" s="7" t="str">
        <f>'Company Stock '!A24</f>
        <v xml:space="preserve">Liver Win </v>
      </c>
      <c r="B23" s="8" t="str">
        <f>'Company Stock '!B24</f>
        <v xml:space="preserve">500ml </v>
      </c>
      <c r="C23" s="11">
        <v>83</v>
      </c>
      <c r="D23" s="12"/>
      <c r="E23" s="12"/>
      <c r="F23" s="10">
        <f t="shared" si="0"/>
        <v>83</v>
      </c>
      <c r="G23" s="12"/>
      <c r="H23" s="12"/>
      <c r="I23" s="12"/>
      <c r="J23" s="10">
        <f t="shared" si="1"/>
        <v>83</v>
      </c>
      <c r="K23" s="12"/>
    </row>
    <row r="24" spans="1:11" ht="18" customHeight="1" x14ac:dyDescent="0.25">
      <c r="A24" s="7" t="str">
        <f>'Company Stock '!A25</f>
        <v>Oxy-win (Granular)</v>
      </c>
      <c r="B24" s="8" t="str">
        <f>'Company Stock '!B25</f>
        <v xml:space="preserve">1kg </v>
      </c>
      <c r="C24" s="11">
        <v>40</v>
      </c>
      <c r="D24" s="12"/>
      <c r="E24" s="12"/>
      <c r="F24" s="10">
        <f t="shared" si="0"/>
        <v>40</v>
      </c>
      <c r="G24" s="12"/>
      <c r="H24" s="12"/>
      <c r="I24" s="12"/>
      <c r="J24" s="10">
        <f t="shared" si="1"/>
        <v>40</v>
      </c>
      <c r="K24" s="12"/>
    </row>
    <row r="25" spans="1:11" ht="18" customHeight="1" x14ac:dyDescent="0.25">
      <c r="A25" s="7" t="str">
        <f>'Company Stock '!A26</f>
        <v>Oxy-win (Tablet)</v>
      </c>
      <c r="B25" s="8" t="str">
        <f>'Company Stock '!B26</f>
        <v xml:space="preserve">1kg </v>
      </c>
      <c r="C25" s="11">
        <v>30</v>
      </c>
      <c r="D25" s="12"/>
      <c r="E25" s="12"/>
      <c r="F25" s="10">
        <f t="shared" si="0"/>
        <v>30</v>
      </c>
      <c r="G25" s="12"/>
      <c r="H25" s="12"/>
      <c r="I25" s="12"/>
      <c r="J25" s="10">
        <f t="shared" si="1"/>
        <v>30</v>
      </c>
      <c r="K25" s="12"/>
    </row>
    <row r="26" spans="1:11" ht="18" customHeight="1" x14ac:dyDescent="0.25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1">
        <v>80</v>
      </c>
      <c r="D26" s="12"/>
      <c r="E26" s="12"/>
      <c r="F26" s="10">
        <f t="shared" si="0"/>
        <v>80</v>
      </c>
      <c r="G26" s="12"/>
      <c r="H26" s="12"/>
      <c r="I26" s="12"/>
      <c r="J26" s="10">
        <f t="shared" si="1"/>
        <v>80</v>
      </c>
      <c r="K26" s="12"/>
    </row>
    <row r="27" spans="1:11" ht="18" customHeight="1" x14ac:dyDescent="0.25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1">
        <v>59</v>
      </c>
      <c r="D27" s="12"/>
      <c r="E27" s="12"/>
      <c r="F27" s="10">
        <f t="shared" si="0"/>
        <v>59</v>
      </c>
      <c r="G27" s="12"/>
      <c r="H27" s="12"/>
      <c r="I27" s="12"/>
      <c r="J27" s="10">
        <f t="shared" si="1"/>
        <v>59</v>
      </c>
      <c r="K27" s="12"/>
    </row>
    <row r="28" spans="1:11" ht="18" customHeight="1" x14ac:dyDescent="0.25">
      <c r="A28" s="7" t="str">
        <f>'Company Stock '!A29</f>
        <v xml:space="preserve">Vitafort Aqua </v>
      </c>
      <c r="B28" s="8" t="str">
        <f>'Company Stock '!B29</f>
        <v xml:space="preserve">500gm </v>
      </c>
      <c r="C28" s="11">
        <v>10</v>
      </c>
      <c r="D28" s="12"/>
      <c r="E28" s="12"/>
      <c r="F28" s="10">
        <f t="shared" si="0"/>
        <v>10</v>
      </c>
      <c r="G28" s="12"/>
      <c r="H28" s="12"/>
      <c r="I28" s="12"/>
      <c r="J28" s="10">
        <f t="shared" si="1"/>
        <v>10</v>
      </c>
      <c r="K28" s="12"/>
    </row>
    <row r="29" spans="1:11" ht="18" customHeight="1" x14ac:dyDescent="0.25">
      <c r="A29" s="7" t="str">
        <f>'Company Stock '!A30</f>
        <v xml:space="preserve">Vitazyme Aqua </v>
      </c>
      <c r="B29" s="8" t="str">
        <f>'Company Stock '!B30</f>
        <v xml:space="preserve">500gm </v>
      </c>
      <c r="C29" s="11">
        <v>64</v>
      </c>
      <c r="D29" s="12"/>
      <c r="E29" s="12"/>
      <c r="F29" s="10">
        <f t="shared" si="0"/>
        <v>64</v>
      </c>
      <c r="G29" s="12"/>
      <c r="H29" s="12"/>
      <c r="I29" s="12"/>
      <c r="J29" s="10">
        <f t="shared" si="1"/>
        <v>64</v>
      </c>
      <c r="K29" s="12"/>
    </row>
    <row r="30" spans="1:11" ht="18" customHeight="1" x14ac:dyDescent="0.25">
      <c r="A30" s="7" t="str">
        <f>'Company Stock '!A31</f>
        <v xml:space="preserve">Win C </v>
      </c>
      <c r="B30" s="8" t="str">
        <f>'Company Stock '!B31</f>
        <v xml:space="preserve">100gm </v>
      </c>
      <c r="C30" s="11">
        <v>0</v>
      </c>
      <c r="D30" s="14"/>
      <c r="E30" s="14"/>
      <c r="F30" s="10">
        <f t="shared" si="0"/>
        <v>0</v>
      </c>
      <c r="G30" s="14"/>
      <c r="H30" s="14"/>
      <c r="I30" s="14"/>
      <c r="J30" s="10">
        <f t="shared" si="1"/>
        <v>0</v>
      </c>
      <c r="K30" s="14"/>
    </row>
    <row r="31" spans="1:11" ht="18" customHeight="1" x14ac:dyDescent="0.25">
      <c r="A31" s="7" t="str">
        <f>'Company Stock '!A32</f>
        <v xml:space="preserve">Win C </v>
      </c>
      <c r="B31" s="8" t="str">
        <f>'Company Stock '!B32</f>
        <v xml:space="preserve">500gm </v>
      </c>
      <c r="C31" s="11"/>
      <c r="D31" s="14"/>
      <c r="E31" s="14"/>
      <c r="F31" s="10"/>
      <c r="G31" s="14"/>
      <c r="H31" s="14"/>
      <c r="I31" s="14"/>
      <c r="J31" s="10"/>
      <c r="K31" s="14"/>
    </row>
    <row r="32" spans="1:11" ht="18" customHeight="1" x14ac:dyDescent="0.25">
      <c r="A32" s="7" t="str">
        <f>'Company Stock '!A33</f>
        <v xml:space="preserve">Win Health </v>
      </c>
      <c r="B32" s="8" t="str">
        <f>'Company Stock '!B33</f>
        <v xml:space="preserve">500ml </v>
      </c>
      <c r="C32" s="11">
        <v>23</v>
      </c>
      <c r="D32" s="12"/>
      <c r="E32" s="12"/>
      <c r="F32" s="10">
        <f t="shared" si="0"/>
        <v>23</v>
      </c>
      <c r="G32" s="12"/>
      <c r="H32" s="12"/>
      <c r="I32" s="12"/>
      <c r="J32" s="10">
        <f t="shared" si="1"/>
        <v>23</v>
      </c>
      <c r="K32" s="12"/>
    </row>
    <row r="33" spans="1:12" ht="18" customHeight="1" x14ac:dyDescent="0.25">
      <c r="A33" s="7" t="str">
        <f>'Company Stock '!A34</f>
        <v xml:space="preserve">Win Max Plus </v>
      </c>
      <c r="B33" s="8" t="str">
        <f>'Company Stock '!B34</f>
        <v xml:space="preserve">50ml </v>
      </c>
      <c r="C33" s="11">
        <f>75+28</f>
        <v>103</v>
      </c>
      <c r="D33" s="12"/>
      <c r="E33" s="12"/>
      <c r="F33" s="10">
        <f t="shared" si="0"/>
        <v>103</v>
      </c>
      <c r="G33" s="12"/>
      <c r="H33" s="12"/>
      <c r="I33" s="12"/>
      <c r="J33" s="10">
        <f t="shared" si="1"/>
        <v>103</v>
      </c>
      <c r="K33" s="12"/>
      <c r="L33" s="22"/>
    </row>
    <row r="34" spans="1:12" ht="18" customHeight="1" x14ac:dyDescent="0.25">
      <c r="A34" s="7" t="str">
        <f>'Company Stock '!A35</f>
        <v xml:space="preserve">Win Max Plus </v>
      </c>
      <c r="B34" s="8" t="str">
        <f>'Company Stock '!B35</f>
        <v xml:space="preserve">200ml </v>
      </c>
      <c r="C34" s="11">
        <v>217</v>
      </c>
      <c r="D34" s="12">
        <v>144</v>
      </c>
      <c r="E34" s="12"/>
      <c r="F34" s="10">
        <f t="shared" si="0"/>
        <v>361</v>
      </c>
      <c r="G34" s="12"/>
      <c r="H34" s="12">
        <v>96</v>
      </c>
      <c r="I34" s="12"/>
      <c r="J34" s="10">
        <f t="shared" si="1"/>
        <v>265</v>
      </c>
      <c r="K34" s="12"/>
      <c r="L34" s="22"/>
    </row>
    <row r="35" spans="1:12" ht="18" customHeight="1" x14ac:dyDescent="0.25">
      <c r="A35" s="7" t="str">
        <f>'Company Stock '!A36</f>
        <v xml:space="preserve">Win Pro Aqua </v>
      </c>
      <c r="B35" s="8" t="str">
        <f>'Company Stock '!B36</f>
        <v xml:space="preserve">100gm </v>
      </c>
      <c r="C35" s="11">
        <v>199</v>
      </c>
      <c r="D35" s="12"/>
      <c r="E35" s="12"/>
      <c r="F35" s="10">
        <f t="shared" si="0"/>
        <v>199</v>
      </c>
      <c r="G35" s="12"/>
      <c r="H35" s="12"/>
      <c r="I35" s="12"/>
      <c r="J35" s="10">
        <f t="shared" si="1"/>
        <v>199</v>
      </c>
      <c r="K35" s="12"/>
    </row>
    <row r="36" spans="1:12" ht="18" customHeight="1" x14ac:dyDescent="0.25">
      <c r="A36" s="7" t="str">
        <f>'Company Stock '!A37</f>
        <v xml:space="preserve">Win Pro Aqua </v>
      </c>
      <c r="B36" s="8" t="str">
        <f>'Company Stock '!B37</f>
        <v xml:space="preserve">200gm </v>
      </c>
      <c r="C36" s="11">
        <v>70</v>
      </c>
      <c r="D36" s="12">
        <v>135</v>
      </c>
      <c r="E36" s="12"/>
      <c r="F36" s="10">
        <f t="shared" si="0"/>
        <v>205</v>
      </c>
      <c r="G36" s="12"/>
      <c r="H36" s="12"/>
      <c r="I36" s="12"/>
      <c r="J36" s="10">
        <f t="shared" si="1"/>
        <v>205</v>
      </c>
      <c r="K36" s="12"/>
    </row>
    <row r="37" spans="1:12" ht="18" customHeight="1" x14ac:dyDescent="0.25">
      <c r="A37" s="7" t="str">
        <f>'Company Stock '!A38</f>
        <v xml:space="preserve">Winxide Aqua </v>
      </c>
      <c r="B37" s="8" t="str">
        <f>'Company Stock '!B38</f>
        <v xml:space="preserve">100ml </v>
      </c>
      <c r="C37" s="11">
        <v>34</v>
      </c>
      <c r="D37" s="12"/>
      <c r="E37" s="12"/>
      <c r="F37" s="10">
        <f t="shared" si="0"/>
        <v>34</v>
      </c>
      <c r="G37" s="12"/>
      <c r="H37" s="12"/>
      <c r="I37" s="12"/>
      <c r="J37" s="10">
        <f t="shared" si="1"/>
        <v>34</v>
      </c>
      <c r="K37" s="12"/>
    </row>
    <row r="38" spans="1:12" ht="18" customHeight="1" x14ac:dyDescent="0.25">
      <c r="A38" s="7" t="str">
        <f>'Company Stock '!A39</f>
        <v xml:space="preserve">Winxide Aqua </v>
      </c>
      <c r="B38" s="8" t="str">
        <f>'Company Stock '!B39</f>
        <v xml:space="preserve">500ml </v>
      </c>
      <c r="C38" s="11">
        <v>139</v>
      </c>
      <c r="D38" s="12"/>
      <c r="E38" s="12"/>
      <c r="F38" s="10">
        <f t="shared" si="0"/>
        <v>139</v>
      </c>
      <c r="G38" s="12"/>
      <c r="H38" s="12"/>
      <c r="I38" s="12"/>
      <c r="J38" s="10">
        <f t="shared" si="1"/>
        <v>139</v>
      </c>
      <c r="K38" s="12"/>
    </row>
    <row r="39" spans="1:12" ht="18" customHeight="1" x14ac:dyDescent="0.25">
      <c r="A39" s="7"/>
      <c r="B39" s="8"/>
      <c r="C39" s="11"/>
      <c r="D39" s="11"/>
      <c r="E39" s="11"/>
      <c r="F39" s="10"/>
      <c r="G39" s="11"/>
      <c r="H39" s="11"/>
      <c r="I39" s="11"/>
      <c r="J39" s="10"/>
      <c r="K39" s="11"/>
    </row>
    <row r="40" spans="1:12" ht="18" customHeight="1" x14ac:dyDescent="0.25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2" ht="18" customHeight="1" x14ac:dyDescent="0.25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2" ht="18" customHeight="1" x14ac:dyDescent="0.25">
      <c r="A42" s="19" t="s">
        <v>60</v>
      </c>
      <c r="B42" s="19"/>
      <c r="C42" s="19"/>
      <c r="D42" s="19"/>
      <c r="E42" s="19"/>
      <c r="F42" s="19"/>
      <c r="G42" s="19"/>
      <c r="H42" s="20"/>
      <c r="I42" s="19"/>
      <c r="J42" s="19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6</vt:i4>
      </vt:variant>
    </vt:vector>
  </HeadingPairs>
  <TitlesOfParts>
    <vt:vector size="6" baseType="lpstr">
      <vt:lpstr>Company Stock </vt:lpstr>
      <vt:lpstr>Cumilla </vt:lpstr>
      <vt:lpstr>Mymensing </vt:lpstr>
      <vt:lpstr>Bogra</vt:lpstr>
      <vt:lpstr>Jessore </vt:lpstr>
      <vt:lpstr>Feni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2026-06-29T10:54:32Z</dcterms:modified>
</cp:coreProperties>
</file>