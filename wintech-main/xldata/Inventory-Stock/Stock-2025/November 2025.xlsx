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51750038-1229-4909-A40D-EFEFB7157F77}" xr6:coauthVersionLast="47" xr6:coauthVersionMax="47" xr10:uidLastSave="{00000000-0000-0000-0000-000000000000}"/>
  <bookViews>
    <workbookView xWindow="-120" yWindow="-120" windowWidth="20730" windowHeight="11040" tabRatio="464" firstSheet="1" activeTab="5" xr2:uid="{00000000-000D-0000-FFFF-FFFF00000000}"/>
  </bookViews>
  <sheets>
    <sheet name="Company Stock " sheetId="1" r:id="rId1"/>
    <sheet name="Cumilla " sheetId="2" r:id="rId2"/>
    <sheet name="Mymensing " sheetId="3" r:id="rId3"/>
    <sheet name="Jessore " sheetId="5" r:id="rId4"/>
    <sheet name="Bogra" sheetId="4" r:id="rId5"/>
    <sheet name="Feni 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3" l="1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7" i="3"/>
  <c r="F8" i="3" l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7" i="3"/>
  <c r="C33" i="8"/>
  <c r="C32" i="8"/>
  <c r="J8" i="8"/>
  <c r="J9" i="8"/>
  <c r="J10" i="8"/>
  <c r="J11" i="8"/>
  <c r="J12" i="8"/>
  <c r="J13" i="8"/>
  <c r="J14" i="8"/>
  <c r="J15" i="8"/>
  <c r="J16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5" i="8"/>
  <c r="J36" i="8"/>
  <c r="J37" i="8"/>
  <c r="J38" i="8"/>
  <c r="J7" i="8"/>
  <c r="F11" i="8"/>
  <c r="F12" i="8"/>
  <c r="F13" i="8"/>
  <c r="F14" i="8"/>
  <c r="F15" i="8"/>
  <c r="F16" i="8"/>
  <c r="F17" i="8"/>
  <c r="J17" i="8" s="1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32" i="8" s="1"/>
  <c r="F33" i="8"/>
  <c r="J33" i="8" s="1"/>
  <c r="F34" i="8"/>
  <c r="J34" i="8" s="1"/>
  <c r="F35" i="8"/>
  <c r="F36" i="8"/>
  <c r="F37" i="8"/>
  <c r="F38" i="8"/>
  <c r="F7" i="8"/>
  <c r="F8" i="8"/>
  <c r="F9" i="8"/>
  <c r="F10" i="8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5" i="5"/>
  <c r="J36" i="5"/>
  <c r="J37" i="5"/>
  <c r="J38" i="5"/>
  <c r="J7" i="5"/>
  <c r="F7" i="5"/>
  <c r="F8" i="5"/>
  <c r="F9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J34" i="5" s="1"/>
  <c r="F35" i="5"/>
  <c r="F36" i="5"/>
  <c r="F37" i="5"/>
  <c r="F38" i="5"/>
  <c r="F10" i="5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7" i="4"/>
  <c r="A22" i="3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7" i="2"/>
  <c r="C40" i="1"/>
  <c r="G32" i="1"/>
  <c r="G40" i="1"/>
  <c r="F40" i="1"/>
  <c r="E40" i="1"/>
  <c r="D40" i="1"/>
  <c r="F32" i="1"/>
  <c r="H40" i="1" l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1" i="8"/>
  <c r="B31" i="8"/>
  <c r="A31" i="5"/>
  <c r="B31" i="5"/>
  <c r="A31" i="4"/>
  <c r="B31" i="4"/>
  <c r="A31" i="2"/>
  <c r="B31" i="2"/>
  <c r="B30" i="2"/>
  <c r="E32" i="1"/>
  <c r="D32" i="1"/>
  <c r="J31" i="2"/>
  <c r="C32" i="1" s="1"/>
  <c r="B10" i="4" l="1"/>
  <c r="F9" i="1" l="1"/>
  <c r="F10" i="1"/>
  <c r="F13" i="1"/>
  <c r="F14" i="1"/>
  <c r="F15" i="1"/>
  <c r="F16" i="1"/>
  <c r="F17" i="1"/>
  <c r="F18" i="1"/>
  <c r="F19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11" i="1"/>
  <c r="F12" i="1"/>
  <c r="F20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D9" i="1"/>
  <c r="D11" i="1"/>
  <c r="D13" i="1"/>
  <c r="D15" i="1"/>
  <c r="D16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3" i="1"/>
  <c r="D34" i="1"/>
  <c r="D35" i="1"/>
  <c r="D36" i="1"/>
  <c r="D37" i="1"/>
  <c r="D38" i="1"/>
  <c r="G11" i="1"/>
  <c r="G12" i="1"/>
  <c r="G13" i="1"/>
  <c r="G14" i="1"/>
  <c r="G15" i="1"/>
  <c r="G16" i="1"/>
  <c r="G19" i="1"/>
  <c r="G21" i="1"/>
  <c r="G22" i="1"/>
  <c r="G23" i="1"/>
  <c r="G24" i="1"/>
  <c r="G25" i="1"/>
  <c r="G27" i="1"/>
  <c r="G28" i="1"/>
  <c r="G29" i="1"/>
  <c r="G30" i="1"/>
  <c r="G31" i="1"/>
  <c r="G33" i="1"/>
  <c r="G34" i="1"/>
  <c r="G35" i="1"/>
  <c r="G36" i="1"/>
  <c r="G37" i="1"/>
  <c r="G38" i="1"/>
  <c r="G39" i="1"/>
  <c r="G9" i="1"/>
  <c r="G10" i="1"/>
  <c r="G17" i="1"/>
  <c r="G18" i="1"/>
  <c r="G20" i="1"/>
  <c r="G26" i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2" i="8"/>
  <c r="B33" i="8"/>
  <c r="B34" i="8"/>
  <c r="B35" i="8"/>
  <c r="B36" i="8"/>
  <c r="B37" i="8"/>
  <c r="B38" i="8"/>
  <c r="B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2" i="8"/>
  <c r="A33" i="8"/>
  <c r="A34" i="8"/>
  <c r="A35" i="8"/>
  <c r="A36" i="8"/>
  <c r="A37" i="8"/>
  <c r="A38" i="8"/>
  <c r="A7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2" i="5"/>
  <c r="A33" i="5"/>
  <c r="A34" i="5"/>
  <c r="A35" i="5"/>
  <c r="A36" i="5"/>
  <c r="A37" i="5"/>
  <c r="A38" i="5"/>
  <c r="A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2" i="5"/>
  <c r="B33" i="5"/>
  <c r="B34" i="5"/>
  <c r="B35" i="5"/>
  <c r="B36" i="5"/>
  <c r="B37" i="5"/>
  <c r="B38" i="5"/>
  <c r="B7" i="5"/>
  <c r="A8" i="4"/>
  <c r="B8" i="4"/>
  <c r="A9" i="4"/>
  <c r="B9" i="4"/>
  <c r="A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B7" i="4"/>
  <c r="A7" i="4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2" i="2"/>
  <c r="B33" i="2"/>
  <c r="B34" i="2"/>
  <c r="B35" i="2"/>
  <c r="B36" i="2"/>
  <c r="B37" i="2"/>
  <c r="B38" i="2"/>
  <c r="B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7" i="2"/>
  <c r="B7" i="3"/>
  <c r="D10" i="1"/>
  <c r="D12" i="1"/>
  <c r="D14" i="1"/>
  <c r="D26" i="1"/>
  <c r="D39" i="1"/>
  <c r="J8" i="2"/>
  <c r="C9" i="1" s="1"/>
  <c r="J9" i="2"/>
  <c r="C10" i="1" s="1"/>
  <c r="J10" i="2"/>
  <c r="C11" i="1" s="1"/>
  <c r="J11" i="2"/>
  <c r="C12" i="1" s="1"/>
  <c r="J12" i="2"/>
  <c r="C13" i="1" s="1"/>
  <c r="J13" i="2"/>
  <c r="C14" i="1" s="1"/>
  <c r="J14" i="2"/>
  <c r="C15" i="1" s="1"/>
  <c r="J15" i="2"/>
  <c r="C16" i="1" s="1"/>
  <c r="J16" i="2"/>
  <c r="C17" i="1" s="1"/>
  <c r="J17" i="2"/>
  <c r="C18" i="1" s="1"/>
  <c r="J18" i="2"/>
  <c r="C19" i="1" s="1"/>
  <c r="J19" i="2"/>
  <c r="C20" i="1" s="1"/>
  <c r="J20" i="2"/>
  <c r="C21" i="1" s="1"/>
  <c r="J21" i="2"/>
  <c r="C22" i="1" s="1"/>
  <c r="J22" i="2"/>
  <c r="C23" i="1" s="1"/>
  <c r="J23" i="2"/>
  <c r="C24" i="1" s="1"/>
  <c r="J24" i="2"/>
  <c r="C25" i="1" s="1"/>
  <c r="J25" i="2"/>
  <c r="C26" i="1" s="1"/>
  <c r="J26" i="2"/>
  <c r="C27" i="1" s="1"/>
  <c r="J27" i="2"/>
  <c r="C28" i="1" s="1"/>
  <c r="J28" i="2"/>
  <c r="C29" i="1" s="1"/>
  <c r="J29" i="2"/>
  <c r="C30" i="1" s="1"/>
  <c r="J30" i="2"/>
  <c r="C31" i="1" s="1"/>
  <c r="J32" i="2"/>
  <c r="C33" i="1" s="1"/>
  <c r="J33" i="2"/>
  <c r="C34" i="1" s="1"/>
  <c r="J34" i="2"/>
  <c r="C35" i="1" s="1"/>
  <c r="J35" i="2"/>
  <c r="C36" i="1" s="1"/>
  <c r="J36" i="2"/>
  <c r="C37" i="1" s="1"/>
  <c r="J37" i="2"/>
  <c r="C38" i="1" s="1"/>
  <c r="J38" i="2"/>
  <c r="C39" i="1" s="1"/>
  <c r="J7" i="2"/>
  <c r="D17" i="1" l="1"/>
  <c r="C8" i="1"/>
  <c r="C41" i="1" s="1"/>
  <c r="H32" i="1"/>
  <c r="G8" i="1"/>
  <c r="F8" i="1"/>
  <c r="E8" i="1"/>
  <c r="D8" i="1"/>
  <c r="H8" i="1" l="1"/>
  <c r="D41" i="1"/>
  <c r="H36" i="1"/>
  <c r="H37" i="1"/>
  <c r="H39" i="1"/>
  <c r="H38" i="1"/>
  <c r="E41" i="1"/>
  <c r="H22" i="1"/>
  <c r="F41" i="1"/>
  <c r="G41" i="1"/>
  <c r="H11" i="1"/>
  <c r="H19" i="1"/>
  <c r="H34" i="1"/>
  <c r="H25" i="1"/>
  <c r="H17" i="1"/>
  <c r="H27" i="1"/>
  <c r="H30" i="1"/>
  <c r="H14" i="1"/>
  <c r="H9" i="1"/>
  <c r="H35" i="1"/>
  <c r="H33" i="1"/>
  <c r="H31" i="1"/>
  <c r="H29" i="1"/>
  <c r="H28" i="1"/>
  <c r="H26" i="1"/>
  <c r="H24" i="1"/>
  <c r="H23" i="1"/>
  <c r="H21" i="1"/>
  <c r="H20" i="1"/>
  <c r="H18" i="1"/>
  <c r="H16" i="1"/>
  <c r="H15" i="1"/>
  <c r="H13" i="1"/>
  <c r="H12" i="1"/>
  <c r="H10" i="1"/>
  <c r="H41" i="1" l="1"/>
  <c r="A7" i="3"/>
</calcChain>
</file>

<file path=xl/sharedStrings.xml><?xml version="1.0" encoding="utf-8"?>
<sst xmlns="http://schemas.openxmlformats.org/spreadsheetml/2006/main" count="223" uniqueCount="79">
  <si>
    <t xml:space="preserve">Name of </t>
  </si>
  <si>
    <t xml:space="preserve">Pack </t>
  </si>
  <si>
    <t>Mymensingh</t>
  </si>
  <si>
    <t>Bogra</t>
  </si>
  <si>
    <t>Jessore</t>
  </si>
  <si>
    <t>Feni</t>
  </si>
  <si>
    <t>Total</t>
  </si>
  <si>
    <t>Size</t>
  </si>
  <si>
    <t>Stock</t>
  </si>
  <si>
    <t>Quantity</t>
  </si>
  <si>
    <t>500gm</t>
  </si>
  <si>
    <t>5kg</t>
  </si>
  <si>
    <t>WINTECH AGRO BANGLADESH</t>
  </si>
  <si>
    <t xml:space="preserve">Total:- </t>
  </si>
  <si>
    <t xml:space="preserve">WINTECH AGRO BANGLADESH </t>
  </si>
  <si>
    <t>House # 20, Road # 18, Sector # 14, Uttara, Dhaka-1230, Bangladesh.</t>
  </si>
  <si>
    <t xml:space="preserve">Monthly Zonal Product Storage &amp; Dispose </t>
  </si>
  <si>
    <t xml:space="preserve">Name Of Product </t>
  </si>
  <si>
    <t xml:space="preserve">Previous </t>
  </si>
  <si>
    <t>Received</t>
  </si>
  <si>
    <t xml:space="preserve">Return </t>
  </si>
  <si>
    <t xml:space="preserve">Total </t>
  </si>
  <si>
    <t xml:space="preserve">Transfer </t>
  </si>
  <si>
    <t xml:space="preserve">Sales </t>
  </si>
  <si>
    <t xml:space="preserve">Bonus </t>
  </si>
  <si>
    <t xml:space="preserve">Present </t>
  </si>
  <si>
    <t xml:space="preserve">Remarks </t>
  </si>
  <si>
    <t xml:space="preserve">Stock </t>
  </si>
  <si>
    <t xml:space="preserve">Quentity </t>
  </si>
  <si>
    <t xml:space="preserve">Quantity </t>
  </si>
  <si>
    <t xml:space="preserve">Balance </t>
  </si>
  <si>
    <t xml:space="preserve">Aqua Amla </t>
  </si>
  <si>
    <t xml:space="preserve">100gm </t>
  </si>
  <si>
    <t xml:space="preserve">Aqua Milk Premium </t>
  </si>
  <si>
    <t xml:space="preserve">Aqua Safe Plus </t>
  </si>
  <si>
    <t xml:space="preserve">Bencidal Plus </t>
  </si>
  <si>
    <t xml:space="preserve">100ml </t>
  </si>
  <si>
    <t xml:space="preserve">500ml </t>
  </si>
  <si>
    <t xml:space="preserve">Bottom Light </t>
  </si>
  <si>
    <t xml:space="preserve">500gm </t>
  </si>
  <si>
    <t xml:space="preserve">Brood Plus </t>
  </si>
  <si>
    <t xml:space="preserve">Eco Fresh </t>
  </si>
  <si>
    <t xml:space="preserve">1kg </t>
  </si>
  <si>
    <t xml:space="preserve">Eco Fresh Plus </t>
  </si>
  <si>
    <t xml:space="preserve">Energy Flow </t>
  </si>
  <si>
    <t xml:space="preserve">Enrosef </t>
  </si>
  <si>
    <t xml:space="preserve">Erostep </t>
  </si>
  <si>
    <t>Green Vita</t>
  </si>
  <si>
    <t xml:space="preserve">Liver Win </t>
  </si>
  <si>
    <t xml:space="preserve">Pro Yucca for Fish </t>
  </si>
  <si>
    <t xml:space="preserve">Vitafort Aqua </t>
  </si>
  <si>
    <t xml:space="preserve">Vitazyme Aqua </t>
  </si>
  <si>
    <t xml:space="preserve">Win C </t>
  </si>
  <si>
    <t xml:space="preserve">Win Health </t>
  </si>
  <si>
    <t xml:space="preserve">Win Max Plus </t>
  </si>
  <si>
    <t xml:space="preserve">50ml </t>
  </si>
  <si>
    <t xml:space="preserve">200ml </t>
  </si>
  <si>
    <t xml:space="preserve">Win Pro Aqua </t>
  </si>
  <si>
    <t xml:space="preserve">200gm </t>
  </si>
  <si>
    <t xml:space="preserve">Winxide Aqua </t>
  </si>
  <si>
    <t xml:space="preserve">Assigned Officer </t>
  </si>
  <si>
    <t xml:space="preserve">Zone Incharge  </t>
  </si>
  <si>
    <t xml:space="preserve">Zone : Cumilla  </t>
  </si>
  <si>
    <t xml:space="preserve">Zone : Feni  </t>
  </si>
  <si>
    <t xml:space="preserve">Zone : Jessore   </t>
  </si>
  <si>
    <t xml:space="preserve">Zone : Bogra  </t>
  </si>
  <si>
    <t xml:space="preserve">Zone : Mymensingh   </t>
  </si>
  <si>
    <t xml:space="preserve">Cumilla </t>
  </si>
  <si>
    <t>The Products</t>
  </si>
  <si>
    <t>Oxy-win (Granular)</t>
  </si>
  <si>
    <t>Oxy-win (Tablet)</t>
  </si>
  <si>
    <t xml:space="preserve">Accounts Dept. </t>
  </si>
  <si>
    <t xml:space="preserve">Checked By </t>
  </si>
  <si>
    <t xml:space="preserve"> Pack </t>
  </si>
  <si>
    <t>Managing Partner</t>
  </si>
  <si>
    <t>House #20, Road #18, Sector #14, Uttara, Dhaka-1230,Bangladesh.</t>
  </si>
  <si>
    <t>Company Stock Report November -2025</t>
  </si>
  <si>
    <t>Month of November 2025</t>
  </si>
  <si>
    <t>Month of Novemebr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</si>
</sst>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11"/>
      <color rgb="FF00B0F0"/>
      <name val="Calibri"/>
      <family val="2"/>
      <scheme val="minor"/>
    </font>
    <font>
      <sz val="24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0"/>
      <name val="Arial"/>
      <family val="2"/>
    </font>
    <font>
      <sz val="22"/>
      <color theme="1"/>
      <name val="Arial "/>
    </font>
    <font>
      <sz val="11"/>
      <color theme="1"/>
      <name val="Arial "/>
    </font>
    <font>
      <sz val="11"/>
      <name val="Arial "/>
    </font>
    <font>
      <b/>
      <sz val="14"/>
      <color theme="1"/>
      <name val="Arial "/>
    </font>
    <font>
      <sz val="12"/>
      <color theme="1"/>
      <name val="Arial "/>
    </font>
    <font>
      <sz val="10"/>
      <color theme="1"/>
      <name val="Arial "/>
    </font>
    <font>
      <sz val="9"/>
      <color theme="1"/>
      <name val="Arial "/>
    </font>
    <font>
      <sz val="14"/>
      <name val="Arial "/>
    </font>
    <font>
      <sz val="14"/>
      <color theme="1"/>
      <name val="Arial 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98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right" vertical="center"/>
    </xf>
    <xf numFmtId="41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5" fontId="5" fillId="0" borderId="3" xfId="1" applyFont="1" applyBorder="1" applyAlignment="1">
      <alignment horizontal="right" vertical="center"/>
    </xf>
    <xf numFmtId="0" fontId="11" fillId="0" borderId="0" xfId="0" applyFont="1"/>
    <xf numFmtId="164" fontId="15" fillId="0" borderId="1" xfId="1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4" fillId="0" borderId="1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165" fontId="13" fillId="0" borderId="2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5" fontId="5" fillId="0" borderId="3" xfId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65" fontId="5" fillId="0" borderId="1" xfId="1" applyFont="1" applyFill="1" applyBorder="1" applyAlignment="1">
      <alignment horizontal="left" vertical="center"/>
    </xf>
    <xf numFmtId="165" fontId="5" fillId="0" borderId="1" xfId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left" vertical="center"/>
    </xf>
    <xf numFmtId="165" fontId="5" fillId="0" borderId="1" xfId="1" applyFont="1" applyFill="1" applyBorder="1" applyAlignment="1">
      <alignment horizontal="left" vertical="center" wrapText="1"/>
    </xf>
    <xf numFmtId="164" fontId="8" fillId="0" borderId="3" xfId="1" applyNumberFormat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left" vertical="center"/>
    </xf>
    <xf numFmtId="164" fontId="8" fillId="0" borderId="4" xfId="1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2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1" fontId="0" fillId="0" borderId="0" xfId="0" applyNumberFormat="1"/>
    <xf numFmtId="41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/>
    <xf numFmtId="41" fontId="2" fillId="0" borderId="1" xfId="0" applyNumberFormat="1" applyFont="1" applyBorder="1" applyAlignment="1">
      <alignment vertical="center"/>
    </xf>
    <xf numFmtId="0" fontId="23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0" borderId="3" xfId="1" applyNumberFormat="1" applyFont="1" applyBorder="1" applyAlignment="1">
      <alignment horizontal="right" vertical="center"/>
    </xf>
    <xf numFmtId="41" fontId="23" fillId="0" borderId="3" xfId="0" applyNumberFormat="1" applyFont="1" applyBorder="1" applyAlignment="1">
      <alignment horizontal="right" vertical="center"/>
    </xf>
    <xf numFmtId="41" fontId="23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41" fontId="24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41" fontId="30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left"/>
    </xf>
    <xf numFmtId="41" fontId="23" fillId="0" borderId="1" xfId="0" applyNumberFormat="1" applyFont="1" applyBorder="1"/>
    <xf numFmtId="41" fontId="2" fillId="0" borderId="1" xfId="1" applyNumberFormat="1" applyFont="1" applyBorder="1" applyAlignment="1">
      <alignment horizontal="right"/>
    </xf>
    <xf numFmtId="41" fontId="31" fillId="0" borderId="1" xfId="1" applyNumberFormat="1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8" fillId="0" borderId="2" xfId="1" applyFont="1" applyBorder="1" applyAlignment="1">
      <alignment horizontal="center" vertical="center"/>
    </xf>
    <xf numFmtId="165" fontId="8" fillId="0" borderId="3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topLeftCell="A10" zoomScaleNormal="100" zoomScalePageLayoutView="85" workbookViewId="0">
      <selection activeCell="C23" sqref="C23"/>
    </sheetView>
  </sheetViews>
  <sheetFormatPr defaultRowHeight="15"/>
  <cols>
    <col min="1" max="1" width="20.140625" style="24" customWidth="1"/>
    <col min="2" max="2" width="10" style="24" customWidth="1"/>
    <col min="3" max="3" width="9" style="24" customWidth="1"/>
    <col min="4" max="4" width="12.7109375" style="24" customWidth="1"/>
    <col min="5" max="5" width="9.28515625" style="24" customWidth="1"/>
    <col min="6" max="6" width="9.7109375" style="24" customWidth="1"/>
    <col min="7" max="7" width="8.28515625" style="24" customWidth="1"/>
    <col min="8" max="8" width="9.85546875" style="24" customWidth="1"/>
    <col min="9" max="9" width="8.85546875" style="24" customWidth="1"/>
    <col min="10" max="16384" width="9.140625" style="24"/>
  </cols>
  <sheetData>
    <row r="2" spans="1:11" ht="30">
      <c r="A2" s="84" t="s">
        <v>12</v>
      </c>
      <c r="B2" s="84"/>
      <c r="C2" s="84"/>
      <c r="D2" s="84"/>
      <c r="E2" s="84"/>
      <c r="F2" s="84"/>
      <c r="G2" s="84"/>
      <c r="H2" s="84"/>
      <c r="I2" s="84"/>
      <c r="J2" s="23"/>
      <c r="K2" s="23"/>
    </row>
    <row r="3" spans="1:11">
      <c r="A3" s="85" t="s">
        <v>75</v>
      </c>
      <c r="B3" s="85"/>
      <c r="C3" s="85"/>
      <c r="D3" s="85"/>
      <c r="E3" s="85"/>
      <c r="F3" s="85"/>
      <c r="G3" s="85"/>
      <c r="H3" s="85"/>
      <c r="I3" s="85"/>
      <c r="J3" s="23"/>
      <c r="K3" s="23"/>
    </row>
    <row r="4" spans="1:11" ht="24" customHeight="1">
      <c r="A4" s="86" t="s">
        <v>76</v>
      </c>
      <c r="B4" s="86"/>
      <c r="C4" s="86"/>
      <c r="D4" s="86"/>
      <c r="E4" s="86"/>
      <c r="F4" s="86"/>
      <c r="G4" s="86"/>
      <c r="H4" s="86"/>
      <c r="I4" s="86"/>
      <c r="J4" s="23"/>
      <c r="K4" s="23"/>
    </row>
    <row r="5" spans="1:11" s="47" customFormat="1" ht="11.25">
      <c r="A5" s="45"/>
      <c r="B5" s="45"/>
      <c r="C5" s="45"/>
      <c r="D5" s="45"/>
      <c r="E5" s="45"/>
      <c r="F5" s="45"/>
      <c r="G5" s="45"/>
      <c r="H5" s="45"/>
      <c r="I5" s="45"/>
      <c r="J5" s="46"/>
      <c r="K5" s="46"/>
    </row>
    <row r="6" spans="1:11" s="31" customFormat="1" ht="15.75">
      <c r="A6" s="32" t="s">
        <v>0</v>
      </c>
      <c r="B6" s="32" t="s">
        <v>1</v>
      </c>
      <c r="C6" s="33" t="s">
        <v>67</v>
      </c>
      <c r="D6" s="48" t="s">
        <v>2</v>
      </c>
      <c r="E6" s="32" t="s">
        <v>3</v>
      </c>
      <c r="F6" s="32" t="s">
        <v>4</v>
      </c>
      <c r="G6" s="32" t="s">
        <v>5</v>
      </c>
      <c r="H6" s="32" t="s">
        <v>6</v>
      </c>
      <c r="I6" s="87" t="s">
        <v>26</v>
      </c>
      <c r="J6" s="1"/>
      <c r="K6" s="1"/>
    </row>
    <row r="7" spans="1:11" s="31" customFormat="1" ht="15.75">
      <c r="A7" s="34" t="s">
        <v>68</v>
      </c>
      <c r="B7" s="34" t="s">
        <v>7</v>
      </c>
      <c r="C7" s="34" t="s">
        <v>8</v>
      </c>
      <c r="D7" s="34" t="s">
        <v>8</v>
      </c>
      <c r="E7" s="34" t="s">
        <v>8</v>
      </c>
      <c r="F7" s="34" t="s">
        <v>8</v>
      </c>
      <c r="G7" s="34" t="s">
        <v>8</v>
      </c>
      <c r="H7" s="34" t="s">
        <v>9</v>
      </c>
      <c r="I7" s="88"/>
      <c r="J7" s="1"/>
      <c r="K7" s="1"/>
    </row>
    <row r="8" spans="1:11" s="37" customFormat="1" ht="18" customHeight="1">
      <c r="A8" s="35" t="s">
        <v>31</v>
      </c>
      <c r="B8" s="20" t="s">
        <v>32</v>
      </c>
      <c r="C8" s="42">
        <f>'Cumilla '!J7</f>
        <v>180</v>
      </c>
      <c r="D8" s="42">
        <f>'Mymensing '!J7</f>
        <v>530</v>
      </c>
      <c r="E8" s="42">
        <f>Bogra!J7</f>
        <v>110</v>
      </c>
      <c r="F8" s="42">
        <f>'Jessore '!J7</f>
        <v>0</v>
      </c>
      <c r="G8" s="42">
        <f>'Feni '!J7</f>
        <v>0</v>
      </c>
      <c r="H8" s="42">
        <f t="shared" ref="H8:H40" si="0">SUM(C8:G8)</f>
        <v>820</v>
      </c>
      <c r="I8" s="36"/>
      <c r="J8" s="23"/>
      <c r="K8" s="23"/>
    </row>
    <row r="9" spans="1:11" s="37" customFormat="1" ht="18" customHeight="1">
      <c r="A9" s="38" t="s">
        <v>31</v>
      </c>
      <c r="B9" s="39" t="s">
        <v>10</v>
      </c>
      <c r="C9" s="42">
        <f>'Cumilla '!J8</f>
        <v>95</v>
      </c>
      <c r="D9" s="42">
        <f>'Mymensing '!J8</f>
        <v>277</v>
      </c>
      <c r="E9" s="42">
        <f>Bogra!J8</f>
        <v>48</v>
      </c>
      <c r="F9" s="42">
        <f>'Jessore '!J8</f>
        <v>150</v>
      </c>
      <c r="G9" s="42">
        <f>'Feni '!J8</f>
        <v>80</v>
      </c>
      <c r="H9" s="44">
        <f t="shared" si="0"/>
        <v>650</v>
      </c>
      <c r="I9" s="36"/>
      <c r="J9" s="23"/>
      <c r="K9" s="23"/>
    </row>
    <row r="10" spans="1:11" s="37" customFormat="1" ht="18" customHeight="1">
      <c r="A10" s="38" t="s">
        <v>33</v>
      </c>
      <c r="B10" s="39" t="s">
        <v>10</v>
      </c>
      <c r="C10" s="42">
        <f>'Cumilla '!J9</f>
        <v>9111</v>
      </c>
      <c r="D10" s="42">
        <f>'Mymensing '!J9</f>
        <v>598</v>
      </c>
      <c r="E10" s="42">
        <f>Bogra!J9</f>
        <v>119</v>
      </c>
      <c r="F10" s="42">
        <f>'Jessore '!J9</f>
        <v>127</v>
      </c>
      <c r="G10" s="42">
        <f>'Feni '!J9</f>
        <v>80</v>
      </c>
      <c r="H10" s="43">
        <f t="shared" si="0"/>
        <v>10035</v>
      </c>
      <c r="I10" s="36"/>
      <c r="J10" s="23"/>
      <c r="K10" s="23"/>
    </row>
    <row r="11" spans="1:11" s="37" customFormat="1" ht="18" customHeight="1">
      <c r="A11" s="38" t="s">
        <v>34</v>
      </c>
      <c r="B11" s="39" t="s">
        <v>11</v>
      </c>
      <c r="C11" s="42">
        <f>'Cumilla '!J10</f>
        <v>54</v>
      </c>
      <c r="D11" s="42">
        <f>'Mymensing '!J10</f>
        <v>164</v>
      </c>
      <c r="E11" s="42">
        <f>Bogra!J10</f>
        <v>36</v>
      </c>
      <c r="F11" s="42">
        <f>'Jessore '!J10</f>
        <v>80</v>
      </c>
      <c r="G11" s="42">
        <f>'Feni '!J10</f>
        <v>64</v>
      </c>
      <c r="H11" s="43">
        <f t="shared" si="0"/>
        <v>398</v>
      </c>
      <c r="I11" s="36"/>
      <c r="J11" s="23"/>
      <c r="K11" s="23"/>
    </row>
    <row r="12" spans="1:11" s="37" customFormat="1" ht="18" customHeight="1">
      <c r="A12" s="38" t="s">
        <v>35</v>
      </c>
      <c r="B12" s="39" t="s">
        <v>36</v>
      </c>
      <c r="C12" s="42">
        <f>'Cumilla '!J11</f>
        <v>2931</v>
      </c>
      <c r="D12" s="42">
        <f>'Mymensing '!J11</f>
        <v>667</v>
      </c>
      <c r="E12" s="42">
        <f>Bogra!J11</f>
        <v>103</v>
      </c>
      <c r="F12" s="42">
        <f>'Jessore '!J11</f>
        <v>124</v>
      </c>
      <c r="G12" s="42">
        <f>'Feni '!J11</f>
        <v>0</v>
      </c>
      <c r="H12" s="43">
        <f t="shared" si="0"/>
        <v>3825</v>
      </c>
      <c r="I12" s="36"/>
      <c r="J12" s="23"/>
      <c r="K12" s="23"/>
    </row>
    <row r="13" spans="1:11" s="37" customFormat="1" ht="18" customHeight="1">
      <c r="A13" s="38" t="s">
        <v>35</v>
      </c>
      <c r="B13" s="39" t="s">
        <v>37</v>
      </c>
      <c r="C13" s="42">
        <f>'Cumilla '!J12</f>
        <v>1015</v>
      </c>
      <c r="D13" s="42">
        <f>'Mymensing '!J12</f>
        <v>259</v>
      </c>
      <c r="E13" s="42">
        <f>Bogra!J12</f>
        <v>74</v>
      </c>
      <c r="F13" s="42">
        <f>'Jessore '!J12</f>
        <v>294</v>
      </c>
      <c r="G13" s="42">
        <f>'Feni '!J12</f>
        <v>213</v>
      </c>
      <c r="H13" s="43">
        <f t="shared" si="0"/>
        <v>1855</v>
      </c>
      <c r="I13" s="36"/>
      <c r="J13" s="23"/>
      <c r="K13" s="23"/>
    </row>
    <row r="14" spans="1:11" s="37" customFormat="1" ht="18" customHeight="1">
      <c r="A14" s="38" t="s">
        <v>38</v>
      </c>
      <c r="B14" s="39" t="s">
        <v>32</v>
      </c>
      <c r="C14" s="42">
        <f>'Cumilla '!J13</f>
        <v>2075</v>
      </c>
      <c r="D14" s="42">
        <f>'Mymensing '!J13</f>
        <v>583</v>
      </c>
      <c r="E14" s="42">
        <f>Bogra!J13</f>
        <v>87</v>
      </c>
      <c r="F14" s="42">
        <f>'Jessore '!J13</f>
        <v>64</v>
      </c>
      <c r="G14" s="42">
        <f>'Feni '!J13</f>
        <v>70</v>
      </c>
      <c r="H14" s="43">
        <f t="shared" si="0"/>
        <v>2879</v>
      </c>
      <c r="I14" s="36"/>
      <c r="J14" s="23"/>
      <c r="K14" s="23"/>
    </row>
    <row r="15" spans="1:11" s="37" customFormat="1" ht="18" customHeight="1">
      <c r="A15" s="38" t="s">
        <v>38</v>
      </c>
      <c r="B15" s="39" t="s">
        <v>39</v>
      </c>
      <c r="C15" s="42">
        <f>'Cumilla '!J14</f>
        <v>913</v>
      </c>
      <c r="D15" s="42">
        <f>'Mymensing '!J14</f>
        <v>247</v>
      </c>
      <c r="E15" s="42">
        <f>Bogra!J14</f>
        <v>26</v>
      </c>
      <c r="F15" s="42">
        <f>'Jessore '!J14</f>
        <v>87</v>
      </c>
      <c r="G15" s="42">
        <f>'Feni '!J14</f>
        <v>119</v>
      </c>
      <c r="H15" s="43">
        <f t="shared" si="0"/>
        <v>1392</v>
      </c>
      <c r="I15" s="36"/>
      <c r="J15" s="23"/>
      <c r="K15" s="23"/>
    </row>
    <row r="16" spans="1:11" s="37" customFormat="1" ht="18" customHeight="1">
      <c r="A16" s="38" t="s">
        <v>40</v>
      </c>
      <c r="B16" s="39" t="s">
        <v>39</v>
      </c>
      <c r="C16" s="42">
        <f>'Cumilla '!J15</f>
        <v>515</v>
      </c>
      <c r="D16" s="42">
        <f>'Mymensing '!J15</f>
        <v>177</v>
      </c>
      <c r="E16" s="42">
        <f>Bogra!J15</f>
        <v>34</v>
      </c>
      <c r="F16" s="42">
        <f>'Jessore '!J15</f>
        <v>32</v>
      </c>
      <c r="G16" s="42">
        <f>'Feni '!J15</f>
        <v>48</v>
      </c>
      <c r="H16" s="43">
        <f t="shared" si="0"/>
        <v>806</v>
      </c>
      <c r="I16" s="36"/>
      <c r="J16" s="23"/>
      <c r="K16" s="23"/>
    </row>
    <row r="17" spans="1:11" s="37" customFormat="1" ht="18" customHeight="1">
      <c r="A17" s="38" t="s">
        <v>41</v>
      </c>
      <c r="B17" s="39" t="s">
        <v>42</v>
      </c>
      <c r="C17" s="42">
        <f>'Cumilla '!J16</f>
        <v>81</v>
      </c>
      <c r="D17" s="42">
        <f>'Mymensing '!J16</f>
        <v>753</v>
      </c>
      <c r="E17" s="42">
        <f>Bogra!J16</f>
        <v>88</v>
      </c>
      <c r="F17" s="42">
        <f>'Jessore '!J16</f>
        <v>19</v>
      </c>
      <c r="G17" s="42">
        <f>'Feni '!J16</f>
        <v>35</v>
      </c>
      <c r="H17" s="43">
        <f t="shared" si="0"/>
        <v>976</v>
      </c>
      <c r="I17" s="36"/>
      <c r="J17" s="23"/>
      <c r="K17" s="23"/>
    </row>
    <row r="18" spans="1:11" s="37" customFormat="1" ht="18" customHeight="1">
      <c r="A18" s="38" t="s">
        <v>43</v>
      </c>
      <c r="B18" s="39" t="s">
        <v>42</v>
      </c>
      <c r="C18" s="42">
        <f>'Cumilla '!J17</f>
        <v>3036</v>
      </c>
      <c r="D18" s="42">
        <f>'Mymensing '!J17</f>
        <v>273</v>
      </c>
      <c r="E18" s="42">
        <f>Bogra!J17</f>
        <v>116</v>
      </c>
      <c r="F18" s="42">
        <f>'Jessore '!J17</f>
        <v>51</v>
      </c>
      <c r="G18" s="42">
        <f>'Feni '!J17</f>
        <v>210</v>
      </c>
      <c r="H18" s="43">
        <f t="shared" si="0"/>
        <v>3686</v>
      </c>
      <c r="I18" s="36"/>
      <c r="J18" s="23"/>
      <c r="K18" s="23"/>
    </row>
    <row r="19" spans="1:11" s="37" customFormat="1" ht="18" customHeight="1">
      <c r="A19" s="38" t="s">
        <v>44</v>
      </c>
      <c r="B19" s="39" t="s">
        <v>39</v>
      </c>
      <c r="C19" s="42">
        <f>'Cumilla '!J18</f>
        <v>109</v>
      </c>
      <c r="D19" s="42">
        <f>'Mymensing '!J18</f>
        <v>501</v>
      </c>
      <c r="E19" s="42">
        <f>Bogra!J18</f>
        <v>48</v>
      </c>
      <c r="F19" s="42">
        <f>'Jessore '!J18</f>
        <v>192</v>
      </c>
      <c r="G19" s="42">
        <f>'Feni '!J18</f>
        <v>96</v>
      </c>
      <c r="H19" s="43">
        <f t="shared" si="0"/>
        <v>946</v>
      </c>
      <c r="I19" s="36"/>
      <c r="J19" s="23"/>
      <c r="K19" s="23"/>
    </row>
    <row r="20" spans="1:11" s="37" customFormat="1" ht="18" customHeight="1">
      <c r="A20" s="41" t="s">
        <v>45</v>
      </c>
      <c r="B20" s="39" t="s">
        <v>36</v>
      </c>
      <c r="C20" s="42">
        <f>'Cumilla '!J19</f>
        <v>0</v>
      </c>
      <c r="D20" s="42">
        <f>'Mymensing '!J19</f>
        <v>0</v>
      </c>
      <c r="E20" s="42">
        <f>Bogra!J19</f>
        <v>0</v>
      </c>
      <c r="F20" s="42">
        <f>'Jessore '!J19</f>
        <v>0</v>
      </c>
      <c r="G20" s="42">
        <f>'Feni '!J19</f>
        <v>0</v>
      </c>
      <c r="H20" s="43">
        <f t="shared" si="0"/>
        <v>0</v>
      </c>
      <c r="I20" s="36"/>
      <c r="J20" s="23"/>
      <c r="K20" s="23"/>
    </row>
    <row r="21" spans="1:11" s="37" customFormat="1" ht="18" customHeight="1">
      <c r="A21" s="41" t="s">
        <v>45</v>
      </c>
      <c r="B21" s="39" t="s">
        <v>37</v>
      </c>
      <c r="C21" s="42">
        <f>'Cumilla '!J20</f>
        <v>9</v>
      </c>
      <c r="D21" s="42">
        <f>'Mymensing '!J20</f>
        <v>10</v>
      </c>
      <c r="E21" s="42">
        <f>Bogra!J20</f>
        <v>0</v>
      </c>
      <c r="F21" s="42">
        <f>'Jessore '!J20</f>
        <v>0</v>
      </c>
      <c r="G21" s="42">
        <f>'Feni '!J20</f>
        <v>0</v>
      </c>
      <c r="H21" s="43">
        <f t="shared" si="0"/>
        <v>19</v>
      </c>
      <c r="I21" s="36"/>
      <c r="J21" s="23"/>
      <c r="K21" s="23"/>
    </row>
    <row r="22" spans="1:11" s="37" customFormat="1" ht="18" customHeight="1">
      <c r="A22" s="41" t="s">
        <v>46</v>
      </c>
      <c r="B22" s="39" t="s">
        <v>32</v>
      </c>
      <c r="C22" s="42">
        <f>'Cumilla '!J21</f>
        <v>22</v>
      </c>
      <c r="D22" s="42">
        <f>'Mymensing '!J21</f>
        <v>50</v>
      </c>
      <c r="E22" s="42">
        <f>Bogra!J21</f>
        <v>0</v>
      </c>
      <c r="F22" s="42">
        <f>'Jessore '!J21</f>
        <v>39</v>
      </c>
      <c r="G22" s="42">
        <f>'Feni '!J21</f>
        <v>0</v>
      </c>
      <c r="H22" s="43">
        <f t="shared" si="0"/>
        <v>111</v>
      </c>
      <c r="I22" s="36"/>
      <c r="J22" s="23"/>
      <c r="K22" s="23"/>
    </row>
    <row r="23" spans="1:11" s="37" customFormat="1" ht="18" customHeight="1">
      <c r="A23" s="41" t="s">
        <v>47</v>
      </c>
      <c r="B23" s="39" t="s">
        <v>10</v>
      </c>
      <c r="C23" s="42">
        <f>'Cumilla '!J22</f>
        <v>110</v>
      </c>
      <c r="D23" s="42">
        <f>'Mymensing '!J22</f>
        <v>120</v>
      </c>
      <c r="E23" s="42">
        <f>Bogra!J22</f>
        <v>68</v>
      </c>
      <c r="F23" s="42">
        <f>'Jessore '!J22</f>
        <v>0</v>
      </c>
      <c r="G23" s="42">
        <f>'Feni '!J22</f>
        <v>40</v>
      </c>
      <c r="H23" s="43">
        <f t="shared" si="0"/>
        <v>338</v>
      </c>
      <c r="I23" s="36"/>
      <c r="J23" s="23"/>
      <c r="K23" s="23"/>
    </row>
    <row r="24" spans="1:11" s="37" customFormat="1" ht="18" customHeight="1">
      <c r="A24" s="38" t="s">
        <v>48</v>
      </c>
      <c r="B24" s="39" t="s">
        <v>37</v>
      </c>
      <c r="C24" s="42">
        <f>'Cumilla '!J23</f>
        <v>105</v>
      </c>
      <c r="D24" s="42">
        <f>'Mymensing '!J23</f>
        <v>110</v>
      </c>
      <c r="E24" s="42">
        <f>Bogra!J23</f>
        <v>0</v>
      </c>
      <c r="F24" s="42">
        <f>'Jessore '!J23</f>
        <v>128</v>
      </c>
      <c r="G24" s="42">
        <f>'Feni '!J23</f>
        <v>68</v>
      </c>
      <c r="H24" s="43">
        <f t="shared" si="0"/>
        <v>411</v>
      </c>
      <c r="I24" s="36"/>
      <c r="J24" s="23"/>
      <c r="K24" s="23"/>
    </row>
    <row r="25" spans="1:11" s="37" customFormat="1" ht="18" customHeight="1">
      <c r="A25" s="38" t="s">
        <v>69</v>
      </c>
      <c r="B25" s="39" t="s">
        <v>42</v>
      </c>
      <c r="C25" s="42">
        <f>'Cumilla '!J24</f>
        <v>217</v>
      </c>
      <c r="D25" s="42">
        <f>'Mymensing '!J24</f>
        <v>166</v>
      </c>
      <c r="E25" s="42">
        <f>Bogra!J24</f>
        <v>14</v>
      </c>
      <c r="F25" s="42">
        <f>'Jessore '!J24</f>
        <v>30</v>
      </c>
      <c r="G25" s="42">
        <f>'Feni '!J24</f>
        <v>40</v>
      </c>
      <c r="H25" s="43">
        <f t="shared" si="0"/>
        <v>467</v>
      </c>
      <c r="I25" s="36"/>
      <c r="J25" s="23"/>
      <c r="K25" s="23"/>
    </row>
    <row r="26" spans="1:11" s="37" customFormat="1" ht="18" customHeight="1">
      <c r="A26" s="38" t="s">
        <v>70</v>
      </c>
      <c r="B26" s="39" t="s">
        <v>42</v>
      </c>
      <c r="C26" s="42">
        <f>'Cumilla '!J25</f>
        <v>4427</v>
      </c>
      <c r="D26" s="42">
        <f>'Mymensing '!J25</f>
        <v>276.5</v>
      </c>
      <c r="E26" s="42">
        <f>Bogra!J25</f>
        <v>14</v>
      </c>
      <c r="F26" s="42">
        <f>'Jessore '!J25</f>
        <v>77</v>
      </c>
      <c r="G26" s="42">
        <f>'Feni '!J25</f>
        <v>30</v>
      </c>
      <c r="H26" s="43">
        <f t="shared" si="0"/>
        <v>4824.5</v>
      </c>
      <c r="I26" s="36"/>
      <c r="J26" s="23"/>
      <c r="K26" s="23"/>
    </row>
    <row r="27" spans="1:11" s="37" customFormat="1" ht="18" customHeight="1">
      <c r="A27" s="38" t="s">
        <v>49</v>
      </c>
      <c r="B27" s="39" t="s">
        <v>36</v>
      </c>
      <c r="C27" s="42">
        <f>'Cumilla '!J26</f>
        <v>1795</v>
      </c>
      <c r="D27" s="42">
        <f>'Mymensing '!J26</f>
        <v>284</v>
      </c>
      <c r="E27" s="42">
        <f>Bogra!J26</f>
        <v>80</v>
      </c>
      <c r="F27" s="42">
        <f>'Jessore '!J26</f>
        <v>134</v>
      </c>
      <c r="G27" s="42">
        <f>'Feni '!J26</f>
        <v>80</v>
      </c>
      <c r="H27" s="43">
        <f t="shared" si="0"/>
        <v>2373</v>
      </c>
      <c r="I27" s="36"/>
      <c r="J27" s="23"/>
      <c r="K27" s="23"/>
    </row>
    <row r="28" spans="1:11" s="37" customFormat="1" ht="18" customHeight="1">
      <c r="A28" s="38" t="s">
        <v>49</v>
      </c>
      <c r="B28" s="39" t="s">
        <v>37</v>
      </c>
      <c r="C28" s="42">
        <f>'Cumilla '!J27</f>
        <v>375</v>
      </c>
      <c r="D28" s="42">
        <f>'Mymensing '!J27</f>
        <v>19</v>
      </c>
      <c r="E28" s="42">
        <f>Bogra!J27</f>
        <v>42</v>
      </c>
      <c r="F28" s="42">
        <f>'Jessore '!J27</f>
        <v>195</v>
      </c>
      <c r="G28" s="42">
        <f>'Feni '!J27</f>
        <v>59</v>
      </c>
      <c r="H28" s="43">
        <f t="shared" si="0"/>
        <v>690</v>
      </c>
      <c r="I28" s="36"/>
      <c r="J28" s="23"/>
      <c r="K28" s="23"/>
    </row>
    <row r="29" spans="1:11" s="37" customFormat="1" ht="18" customHeight="1">
      <c r="A29" s="38" t="s">
        <v>50</v>
      </c>
      <c r="B29" s="39" t="s">
        <v>39</v>
      </c>
      <c r="C29" s="42">
        <f>'Cumilla '!J28</f>
        <v>720</v>
      </c>
      <c r="D29" s="42">
        <f>'Mymensing '!J28</f>
        <v>300</v>
      </c>
      <c r="E29" s="42">
        <f>Bogra!J28</f>
        <v>0</v>
      </c>
      <c r="F29" s="42">
        <f>'Jessore '!J28</f>
        <v>37</v>
      </c>
      <c r="G29" s="42">
        <f>'Feni '!J28</f>
        <v>50</v>
      </c>
      <c r="H29" s="43">
        <f t="shared" si="0"/>
        <v>1107</v>
      </c>
      <c r="I29" s="36"/>
      <c r="J29" s="23"/>
      <c r="K29" s="23"/>
    </row>
    <row r="30" spans="1:11" s="37" customFormat="1" ht="18" customHeight="1">
      <c r="A30" s="38" t="s">
        <v>51</v>
      </c>
      <c r="B30" s="39" t="s">
        <v>39</v>
      </c>
      <c r="C30" s="42">
        <f>'Cumilla '!J29</f>
        <v>93</v>
      </c>
      <c r="D30" s="42">
        <f>'Mymensing '!J29</f>
        <v>42</v>
      </c>
      <c r="E30" s="42">
        <f>Bogra!J29</f>
        <v>97</v>
      </c>
      <c r="F30" s="42">
        <f>'Jessore '!J29</f>
        <v>87</v>
      </c>
      <c r="G30" s="42">
        <f>'Feni '!J29</f>
        <v>44</v>
      </c>
      <c r="H30" s="43">
        <f t="shared" si="0"/>
        <v>363</v>
      </c>
      <c r="I30" s="36"/>
      <c r="J30" s="23"/>
      <c r="K30" s="23"/>
    </row>
    <row r="31" spans="1:11" s="37" customFormat="1" ht="18" customHeight="1">
      <c r="A31" s="38" t="s">
        <v>52</v>
      </c>
      <c r="B31" s="39" t="s">
        <v>32</v>
      </c>
      <c r="C31" s="42">
        <f>'Cumilla '!J30</f>
        <v>465</v>
      </c>
      <c r="D31" s="42">
        <f>'Mymensing '!J30</f>
        <v>0</v>
      </c>
      <c r="E31" s="42">
        <f>Bogra!J30</f>
        <v>0</v>
      </c>
      <c r="F31" s="42">
        <f>'Jessore '!J30</f>
        <v>0</v>
      </c>
      <c r="G31" s="42">
        <f>'Feni '!J30</f>
        <v>0</v>
      </c>
      <c r="H31" s="43">
        <f t="shared" si="0"/>
        <v>465</v>
      </c>
      <c r="I31" s="36"/>
      <c r="J31" s="23"/>
      <c r="K31" s="23"/>
    </row>
    <row r="32" spans="1:11" s="37" customFormat="1" ht="18" customHeight="1">
      <c r="A32" s="38" t="s">
        <v>52</v>
      </c>
      <c r="B32" s="39" t="s">
        <v>39</v>
      </c>
      <c r="C32" s="42">
        <f>'Cumilla '!J31</f>
        <v>0</v>
      </c>
      <c r="D32" s="42">
        <f>'Mymensing '!J31</f>
        <v>0</v>
      </c>
      <c r="E32" s="42">
        <f>Bogra!J31</f>
        <v>0</v>
      </c>
      <c r="F32" s="42">
        <f>'Jessore '!J31</f>
        <v>0</v>
      </c>
      <c r="G32" s="42">
        <f>'Feni '!J31</f>
        <v>0</v>
      </c>
      <c r="H32" s="43">
        <f t="shared" si="0"/>
        <v>0</v>
      </c>
      <c r="I32" s="36"/>
      <c r="J32" s="23"/>
      <c r="K32" s="23"/>
    </row>
    <row r="33" spans="1:11" s="37" customFormat="1" ht="18" customHeight="1">
      <c r="A33" s="38" t="s">
        <v>53</v>
      </c>
      <c r="B33" s="39" t="s">
        <v>37</v>
      </c>
      <c r="C33" s="42">
        <f>'Cumilla '!J32</f>
        <v>786</v>
      </c>
      <c r="D33" s="42">
        <f>'Mymensing '!J32</f>
        <v>103</v>
      </c>
      <c r="E33" s="42">
        <f>Bogra!J32</f>
        <v>28</v>
      </c>
      <c r="F33" s="42">
        <f>'Jessore '!J32</f>
        <v>34</v>
      </c>
      <c r="G33" s="42">
        <f>'Feni '!J32</f>
        <v>23</v>
      </c>
      <c r="H33" s="43">
        <f t="shared" si="0"/>
        <v>974</v>
      </c>
      <c r="I33" s="36"/>
      <c r="J33" s="23"/>
      <c r="K33" s="23"/>
    </row>
    <row r="34" spans="1:11" s="37" customFormat="1" ht="18" customHeight="1">
      <c r="A34" s="38" t="s">
        <v>54</v>
      </c>
      <c r="B34" s="39" t="s">
        <v>55</v>
      </c>
      <c r="C34" s="42">
        <f>'Cumilla '!J33</f>
        <v>323</v>
      </c>
      <c r="D34" s="42">
        <f>'Mymensing '!J33</f>
        <v>818</v>
      </c>
      <c r="E34" s="42">
        <f>Bogra!J33</f>
        <v>248</v>
      </c>
      <c r="F34" s="42">
        <f>'Jessore '!J33</f>
        <v>91</v>
      </c>
      <c r="G34" s="42">
        <f>'Feni '!J33</f>
        <v>215</v>
      </c>
      <c r="H34" s="43">
        <f t="shared" si="0"/>
        <v>1695</v>
      </c>
      <c r="I34" s="36"/>
      <c r="J34" s="23"/>
      <c r="K34" s="23"/>
    </row>
    <row r="35" spans="1:11" s="37" customFormat="1" ht="18" customHeight="1">
      <c r="A35" s="38" t="s">
        <v>54</v>
      </c>
      <c r="B35" s="39" t="s">
        <v>56</v>
      </c>
      <c r="C35" s="42">
        <f>'Cumilla '!J34</f>
        <v>299</v>
      </c>
      <c r="D35" s="42">
        <f>'Mymensing '!J34</f>
        <v>76</v>
      </c>
      <c r="E35" s="42">
        <f>Bogra!J34</f>
        <v>55</v>
      </c>
      <c r="F35" s="42">
        <f>'Jessore '!J34</f>
        <v>260</v>
      </c>
      <c r="G35" s="42">
        <f>'Feni '!J34</f>
        <v>158</v>
      </c>
      <c r="H35" s="43">
        <f t="shared" si="0"/>
        <v>848</v>
      </c>
      <c r="I35" s="36"/>
      <c r="J35" s="23"/>
      <c r="K35" s="23"/>
    </row>
    <row r="36" spans="1:11" s="37" customFormat="1" ht="18" customHeight="1">
      <c r="A36" s="38" t="s">
        <v>57</v>
      </c>
      <c r="B36" s="39" t="s">
        <v>32</v>
      </c>
      <c r="C36" s="42">
        <f>'Cumilla '!J35</f>
        <v>534</v>
      </c>
      <c r="D36" s="42">
        <f>'Mymensing '!J35</f>
        <v>732</v>
      </c>
      <c r="E36" s="42">
        <f>Bogra!J35</f>
        <v>52</v>
      </c>
      <c r="F36" s="42">
        <f>'Jessore '!J35</f>
        <v>94</v>
      </c>
      <c r="G36" s="42">
        <f>'Feni '!J35</f>
        <v>199</v>
      </c>
      <c r="H36" s="43">
        <f t="shared" si="0"/>
        <v>1611</v>
      </c>
      <c r="I36" s="36"/>
      <c r="J36" s="23"/>
      <c r="K36" s="23"/>
    </row>
    <row r="37" spans="1:11" s="37" customFormat="1" ht="18" customHeight="1">
      <c r="A37" s="38" t="s">
        <v>57</v>
      </c>
      <c r="B37" s="39" t="s">
        <v>58</v>
      </c>
      <c r="C37" s="42">
        <f>'Cumilla '!J36</f>
        <v>2195</v>
      </c>
      <c r="D37" s="42">
        <f>'Mymensing '!J36</f>
        <v>614</v>
      </c>
      <c r="E37" s="42">
        <f>Bogra!J36</f>
        <v>71</v>
      </c>
      <c r="F37" s="42">
        <f>'Jessore '!J36</f>
        <v>83</v>
      </c>
      <c r="G37" s="42">
        <f>'Feni '!J36</f>
        <v>113</v>
      </c>
      <c r="H37" s="43">
        <f t="shared" si="0"/>
        <v>3076</v>
      </c>
      <c r="I37" s="36"/>
      <c r="J37" s="23"/>
      <c r="K37" s="23"/>
    </row>
    <row r="38" spans="1:11" s="37" customFormat="1" ht="18" customHeight="1">
      <c r="A38" s="38" t="s">
        <v>59</v>
      </c>
      <c r="B38" s="39" t="s">
        <v>36</v>
      </c>
      <c r="C38" s="42">
        <f>'Cumilla '!J37</f>
        <v>108</v>
      </c>
      <c r="D38" s="42">
        <f>'Mymensing '!J37</f>
        <v>627</v>
      </c>
      <c r="E38" s="42">
        <f>Bogra!J37</f>
        <v>89</v>
      </c>
      <c r="F38" s="42">
        <f>'Jessore '!J37</f>
        <v>0</v>
      </c>
      <c r="G38" s="42">
        <f>'Feni '!J37</f>
        <v>34</v>
      </c>
      <c r="H38" s="43">
        <f t="shared" si="0"/>
        <v>858</v>
      </c>
      <c r="I38" s="36"/>
      <c r="J38" s="23"/>
      <c r="K38" s="23"/>
    </row>
    <row r="39" spans="1:11" s="37" customFormat="1" ht="18" customHeight="1">
      <c r="A39" s="38" t="s">
        <v>59</v>
      </c>
      <c r="B39" s="39" t="s">
        <v>37</v>
      </c>
      <c r="C39" s="42">
        <f>'Cumilla '!J38</f>
        <v>106</v>
      </c>
      <c r="D39" s="42">
        <f>'Mymensing '!J38</f>
        <v>173</v>
      </c>
      <c r="E39" s="42">
        <f>Bogra!J38</f>
        <v>20</v>
      </c>
      <c r="F39" s="42">
        <f>'Jessore '!J38</f>
        <v>129</v>
      </c>
      <c r="G39" s="42">
        <f>'Feni '!J38</f>
        <v>139</v>
      </c>
      <c r="H39" s="43">
        <f t="shared" si="0"/>
        <v>567</v>
      </c>
      <c r="I39" s="36"/>
      <c r="J39" s="23"/>
      <c r="K39" s="23"/>
    </row>
    <row r="40" spans="1:11" s="37" customFormat="1" ht="18" customHeight="1">
      <c r="A40" s="38"/>
      <c r="B40" s="39"/>
      <c r="C40" s="42">
        <f>'Cumilla '!J39</f>
        <v>0</v>
      </c>
      <c r="D40" s="42">
        <f>'Mymensing '!J39</f>
        <v>0</v>
      </c>
      <c r="E40" s="42">
        <f>Bogra!J39</f>
        <v>0</v>
      </c>
      <c r="F40" s="42">
        <f>'Jessore '!J39</f>
        <v>0</v>
      </c>
      <c r="G40" s="42">
        <f>'Feni '!J39</f>
        <v>0</v>
      </c>
      <c r="H40" s="43">
        <f t="shared" si="0"/>
        <v>0</v>
      </c>
      <c r="I40" s="36"/>
      <c r="J40" s="23"/>
      <c r="K40" s="23"/>
    </row>
    <row r="41" spans="1:11" s="26" customFormat="1" ht="18" customHeight="1">
      <c r="A41" s="28" t="s">
        <v>13</v>
      </c>
      <c r="B41" s="28"/>
      <c r="C41" s="40">
        <f>SUM(C8:C40)</f>
        <v>32804</v>
      </c>
      <c r="D41" s="40">
        <f>SUM(D8:D40)</f>
        <v>9549.5</v>
      </c>
      <c r="E41" s="40">
        <f>SUM(E8:E39)</f>
        <v>1767</v>
      </c>
      <c r="F41" s="40">
        <f>SUM(F8:F39)</f>
        <v>2638</v>
      </c>
      <c r="G41" s="40">
        <f>SUM(G8:G39)</f>
        <v>2307</v>
      </c>
      <c r="H41" s="40">
        <f>SUM(H8:H40)</f>
        <v>49065.5</v>
      </c>
      <c r="I41" s="22"/>
      <c r="J41" s="25"/>
      <c r="K41" s="25"/>
    </row>
    <row r="42" spans="1:11" s="31" customFormat="1" ht="15.75">
      <c r="A42" s="29"/>
      <c r="B42" s="29"/>
      <c r="C42" s="30"/>
      <c r="D42" s="30"/>
      <c r="E42" s="30"/>
      <c r="F42" s="30"/>
      <c r="G42" s="30"/>
      <c r="H42" s="30"/>
      <c r="I42" s="30"/>
      <c r="J42" s="3"/>
      <c r="K42" s="3"/>
    </row>
    <row r="43" spans="1:11" s="31" customFormat="1" ht="15.75">
      <c r="A43" s="29"/>
      <c r="B43" s="29"/>
      <c r="C43" s="30"/>
      <c r="D43" s="30"/>
      <c r="E43" s="30"/>
      <c r="F43" s="30"/>
      <c r="G43" s="30"/>
      <c r="H43" s="30"/>
      <c r="I43" s="30"/>
      <c r="J43" s="3"/>
      <c r="K43" s="3"/>
    </row>
    <row r="44" spans="1:11" s="31" customFormat="1" ht="15.75">
      <c r="A44" s="29"/>
      <c r="B44" s="29"/>
      <c r="C44" s="30"/>
      <c r="D44" s="30"/>
      <c r="E44" s="30"/>
      <c r="F44" s="30"/>
      <c r="G44" s="30"/>
      <c r="H44" s="30"/>
      <c r="I44" s="30"/>
      <c r="J44" s="3"/>
      <c r="K44" s="3"/>
    </row>
    <row r="45" spans="1:11" s="31" customForma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s="31" customFormat="1" ht="15.75">
      <c r="A46" s="1" t="s">
        <v>71</v>
      </c>
      <c r="B46" s="1"/>
      <c r="C46" s="1"/>
      <c r="D46" s="2" t="s">
        <v>72</v>
      </c>
      <c r="E46" s="1"/>
      <c r="I46" s="3" t="s">
        <v>74</v>
      </c>
      <c r="J46" s="1"/>
      <c r="K46" s="1"/>
    </row>
    <row r="47" spans="1:11" s="31" customForma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>
      <c r="A49" s="23"/>
      <c r="B49" s="27"/>
      <c r="C49" s="23"/>
      <c r="D49" s="23"/>
      <c r="E49" s="23"/>
      <c r="F49" s="23"/>
      <c r="G49" s="23"/>
      <c r="H49" s="23"/>
      <c r="I49" s="23"/>
      <c r="J49" s="23"/>
      <c r="K49" s="23"/>
    </row>
    <row r="50" spans="1:1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</sheetData>
  <sortState xmlns:xlrd2="http://schemas.microsoft.com/office/spreadsheetml/2017/richdata2" ref="A8:P38">
    <sortCondition ref="A38"/>
  </sortState>
  <mergeCells count="4">
    <mergeCell ref="A2:I2"/>
    <mergeCell ref="A3:I3"/>
    <mergeCell ref="A4:I4"/>
    <mergeCell ref="I6:I7"/>
  </mergeCells>
  <pageMargins left="0.5" right="0" top="0.5" bottom="0.1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opLeftCell="A19" workbookViewId="0">
      <selection activeCell="I37" sqref="I37"/>
    </sheetView>
  </sheetViews>
  <sheetFormatPr defaultRowHeight="15"/>
  <cols>
    <col min="1" max="1" width="18.7109375" customWidth="1"/>
    <col min="2" max="2" width="8.42578125" customWidth="1"/>
    <col min="4" max="4" width="9" customWidth="1"/>
    <col min="5" max="5" width="8" customWidth="1"/>
    <col min="9" max="9" width="7.42578125" customWidth="1"/>
    <col min="10" max="10" width="11.5703125" bestFit="1" customWidth="1"/>
  </cols>
  <sheetData>
    <row r="1" spans="1:11" ht="27">
      <c r="A1" s="81" t="s">
        <v>14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>
      <c r="A2" s="82" t="s">
        <v>15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ht="18">
      <c r="A3" s="83" t="s">
        <v>16</v>
      </c>
      <c r="B3" s="83"/>
      <c r="C3" s="83"/>
      <c r="D3" s="83"/>
      <c r="E3" s="83"/>
      <c r="F3" s="83"/>
      <c r="G3" s="83"/>
      <c r="H3" s="83"/>
      <c r="I3" s="83"/>
      <c r="J3" s="83"/>
      <c r="K3" s="83"/>
    </row>
    <row r="4" spans="1:11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62</v>
      </c>
    </row>
    <row r="5" spans="1:11" ht="17.25" customHeight="1">
      <c r="A5" s="8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0" t="s">
        <v>26</v>
      </c>
    </row>
    <row r="6" spans="1:11" ht="17.25" customHeight="1">
      <c r="A6" s="8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1"/>
    </row>
    <row r="7" spans="1:11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11">
        <v>180</v>
      </c>
      <c r="D7" s="9"/>
      <c r="E7" s="9"/>
      <c r="F7" s="9">
        <f>C7+D7+E7</f>
        <v>180</v>
      </c>
      <c r="G7" s="9"/>
      <c r="H7" s="9"/>
      <c r="I7" s="9"/>
      <c r="J7" s="9">
        <f>F7-G7-H7-I7</f>
        <v>180</v>
      </c>
      <c r="K7" s="9"/>
    </row>
    <row r="8" spans="1:11" ht="17.25" customHeight="1">
      <c r="A8" s="7" t="str">
        <f>'Company Stock '!A9</f>
        <v xml:space="preserve">Aqua Amla </v>
      </c>
      <c r="B8" s="8" t="str">
        <f>'Company Stock '!B9</f>
        <v>500gm</v>
      </c>
      <c r="C8" s="11">
        <v>130</v>
      </c>
      <c r="D8" s="11"/>
      <c r="E8" s="11"/>
      <c r="F8" s="9">
        <f t="shared" ref="F8:F38" si="0">C8+D8+E8</f>
        <v>130</v>
      </c>
      <c r="G8" s="11"/>
      <c r="H8" s="11">
        <v>34</v>
      </c>
      <c r="I8" s="11">
        <v>1</v>
      </c>
      <c r="J8" s="9">
        <f t="shared" ref="J8:J38" si="1">F8-G8-H8-I8</f>
        <v>95</v>
      </c>
      <c r="K8" s="11"/>
    </row>
    <row r="9" spans="1:11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11">
        <v>4595</v>
      </c>
      <c r="D9" s="11">
        <v>4740</v>
      </c>
      <c r="E9" s="11"/>
      <c r="F9" s="9">
        <f t="shared" si="0"/>
        <v>9335</v>
      </c>
      <c r="G9" s="11">
        <v>200</v>
      </c>
      <c r="H9" s="11">
        <v>24</v>
      </c>
      <c r="I9" s="11"/>
      <c r="J9" s="9">
        <f t="shared" si="1"/>
        <v>9111</v>
      </c>
      <c r="K9" s="11"/>
    </row>
    <row r="10" spans="1:11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11">
        <v>54</v>
      </c>
      <c r="D10" s="11">
        <v>100</v>
      </c>
      <c r="E10" s="11"/>
      <c r="F10" s="9">
        <f t="shared" si="0"/>
        <v>154</v>
      </c>
      <c r="G10" s="11"/>
      <c r="H10" s="11">
        <v>100</v>
      </c>
      <c r="I10" s="11"/>
      <c r="J10" s="9">
        <f t="shared" si="1"/>
        <v>54</v>
      </c>
      <c r="K10" s="11"/>
    </row>
    <row r="11" spans="1:11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2936</v>
      </c>
      <c r="D11" s="11"/>
      <c r="E11" s="11"/>
      <c r="F11" s="9">
        <f t="shared" si="0"/>
        <v>2936</v>
      </c>
      <c r="G11" s="11"/>
      <c r="H11" s="11">
        <v>5</v>
      </c>
      <c r="I11" s="11"/>
      <c r="J11" s="9">
        <f t="shared" si="1"/>
        <v>2931</v>
      </c>
      <c r="K11" s="11"/>
    </row>
    <row r="12" spans="1:11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1119</v>
      </c>
      <c r="D12" s="11"/>
      <c r="E12" s="11">
        <v>1</v>
      </c>
      <c r="F12" s="9">
        <f t="shared" si="0"/>
        <v>1120</v>
      </c>
      <c r="G12" s="11">
        <v>75</v>
      </c>
      <c r="H12" s="11">
        <v>29</v>
      </c>
      <c r="I12" s="11">
        <v>1</v>
      </c>
      <c r="J12" s="9">
        <f t="shared" si="1"/>
        <v>1015</v>
      </c>
      <c r="K12" s="11"/>
    </row>
    <row r="13" spans="1:11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2075</v>
      </c>
      <c r="D13" s="11"/>
      <c r="E13" s="11"/>
      <c r="F13" s="9">
        <f t="shared" si="0"/>
        <v>2075</v>
      </c>
      <c r="G13" s="11"/>
      <c r="H13" s="11"/>
      <c r="I13" s="11"/>
      <c r="J13" s="9">
        <f t="shared" si="1"/>
        <v>2075</v>
      </c>
      <c r="K13" s="11"/>
    </row>
    <row r="14" spans="1:11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935</v>
      </c>
      <c r="D14" s="11"/>
      <c r="E14" s="11">
        <v>1</v>
      </c>
      <c r="F14" s="9">
        <f t="shared" si="0"/>
        <v>936</v>
      </c>
      <c r="G14" s="11"/>
      <c r="H14" s="11">
        <v>22</v>
      </c>
      <c r="I14" s="11">
        <v>1</v>
      </c>
      <c r="J14" s="9">
        <f t="shared" si="1"/>
        <v>913</v>
      </c>
      <c r="K14" s="11"/>
    </row>
    <row r="15" spans="1:11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515</v>
      </c>
      <c r="D15" s="11"/>
      <c r="E15" s="11"/>
      <c r="F15" s="9">
        <f t="shared" si="0"/>
        <v>515</v>
      </c>
      <c r="G15" s="11"/>
      <c r="H15" s="11"/>
      <c r="I15" s="11"/>
      <c r="J15" s="9">
        <f t="shared" si="1"/>
        <v>515</v>
      </c>
      <c r="K15" s="11"/>
    </row>
    <row r="16" spans="1:11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81</v>
      </c>
      <c r="D16" s="11"/>
      <c r="E16" s="11"/>
      <c r="F16" s="9">
        <f t="shared" si="0"/>
        <v>81</v>
      </c>
      <c r="G16" s="11"/>
      <c r="H16" s="11"/>
      <c r="I16" s="11"/>
      <c r="J16" s="9">
        <f t="shared" si="1"/>
        <v>81</v>
      </c>
      <c r="K16" s="11"/>
    </row>
    <row r="17" spans="1:11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658</v>
      </c>
      <c r="D17" s="11">
        <v>2480</v>
      </c>
      <c r="E17" s="11"/>
      <c r="F17" s="9">
        <f t="shared" si="0"/>
        <v>3138</v>
      </c>
      <c r="G17" s="11">
        <v>100</v>
      </c>
      <c r="H17" s="11">
        <v>2</v>
      </c>
      <c r="I17" s="11"/>
      <c r="J17" s="9">
        <f t="shared" si="1"/>
        <v>3036</v>
      </c>
      <c r="K17" s="11"/>
    </row>
    <row r="18" spans="1:11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129</v>
      </c>
      <c r="D18" s="11"/>
      <c r="E18" s="11"/>
      <c r="F18" s="9">
        <f t="shared" si="0"/>
        <v>129</v>
      </c>
      <c r="G18" s="11"/>
      <c r="H18" s="11">
        <v>20</v>
      </c>
      <c r="I18" s="11"/>
      <c r="J18" s="9">
        <f t="shared" si="1"/>
        <v>109</v>
      </c>
      <c r="K18" s="11"/>
    </row>
    <row r="19" spans="1:11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</row>
    <row r="20" spans="1:11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9</v>
      </c>
      <c r="D20" s="12"/>
      <c r="E20" s="12"/>
      <c r="F20" s="9">
        <f t="shared" si="0"/>
        <v>9</v>
      </c>
      <c r="G20" s="12"/>
      <c r="H20" s="11"/>
      <c r="I20" s="12"/>
      <c r="J20" s="9">
        <f t="shared" si="1"/>
        <v>9</v>
      </c>
      <c r="K20" s="12"/>
    </row>
    <row r="21" spans="1:11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1</v>
      </c>
      <c r="D21" s="11"/>
      <c r="E21" s="11">
        <v>21</v>
      </c>
      <c r="F21" s="9">
        <f t="shared" si="0"/>
        <v>22</v>
      </c>
      <c r="G21" s="11"/>
      <c r="H21" s="11"/>
      <c r="I21" s="11"/>
      <c r="J21" s="9">
        <f t="shared" si="1"/>
        <v>22</v>
      </c>
      <c r="K21" s="11"/>
    </row>
    <row r="22" spans="1:11" ht="17.25" customHeight="1">
      <c r="A22" s="7" t="str">
        <f>'Company Stock '!A23</f>
        <v>Green Vita</v>
      </c>
      <c r="B22" s="8" t="str">
        <f>'Company Stock '!B23</f>
        <v>500gm</v>
      </c>
      <c r="C22" s="11">
        <v>126</v>
      </c>
      <c r="D22" s="11"/>
      <c r="E22" s="11">
        <v>4</v>
      </c>
      <c r="F22" s="9">
        <f t="shared" si="0"/>
        <v>130</v>
      </c>
      <c r="G22" s="11"/>
      <c r="H22" s="11">
        <v>20</v>
      </c>
      <c r="I22" s="11"/>
      <c r="J22" s="9">
        <f t="shared" si="1"/>
        <v>110</v>
      </c>
      <c r="K22" s="11"/>
    </row>
    <row r="23" spans="1:11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124</v>
      </c>
      <c r="D23" s="11"/>
      <c r="E23" s="11">
        <v>1</v>
      </c>
      <c r="F23" s="9">
        <f t="shared" si="0"/>
        <v>125</v>
      </c>
      <c r="G23" s="11"/>
      <c r="H23" s="11">
        <v>20</v>
      </c>
      <c r="I23" s="11"/>
      <c r="J23" s="9">
        <f t="shared" si="1"/>
        <v>105</v>
      </c>
      <c r="K23" s="11"/>
    </row>
    <row r="24" spans="1:11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11">
        <v>243</v>
      </c>
      <c r="D24" s="11"/>
      <c r="E24" s="11"/>
      <c r="F24" s="9">
        <f t="shared" si="0"/>
        <v>243</v>
      </c>
      <c r="G24" s="11"/>
      <c r="H24" s="11">
        <v>26</v>
      </c>
      <c r="I24" s="11"/>
      <c r="J24" s="9">
        <f t="shared" si="1"/>
        <v>217</v>
      </c>
      <c r="K24" s="11"/>
    </row>
    <row r="25" spans="1:11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11">
        <v>4453</v>
      </c>
      <c r="D25" s="11"/>
      <c r="E25" s="11"/>
      <c r="F25" s="9">
        <f t="shared" si="0"/>
        <v>4453</v>
      </c>
      <c r="G25" s="11"/>
      <c r="H25" s="11">
        <v>26</v>
      </c>
      <c r="I25" s="11"/>
      <c r="J25" s="9">
        <f t="shared" si="1"/>
        <v>4427</v>
      </c>
      <c r="K25" s="11"/>
    </row>
    <row r="26" spans="1:11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1795</v>
      </c>
      <c r="D26" s="11"/>
      <c r="E26" s="11"/>
      <c r="F26" s="9">
        <f t="shared" si="0"/>
        <v>1795</v>
      </c>
      <c r="G26" s="11"/>
      <c r="H26" s="11"/>
      <c r="I26" s="11"/>
      <c r="J26" s="9">
        <f t="shared" si="1"/>
        <v>1795</v>
      </c>
      <c r="K26" s="11"/>
    </row>
    <row r="27" spans="1:11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382</v>
      </c>
      <c r="D27" s="11"/>
      <c r="E27" s="11"/>
      <c r="F27" s="9">
        <f t="shared" si="0"/>
        <v>382</v>
      </c>
      <c r="G27" s="11"/>
      <c r="H27" s="11">
        <v>7</v>
      </c>
      <c r="I27" s="11"/>
      <c r="J27" s="9">
        <f t="shared" si="1"/>
        <v>375</v>
      </c>
      <c r="K27" s="11"/>
    </row>
    <row r="28" spans="1:11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0</v>
      </c>
      <c r="D28" s="11">
        <v>1040</v>
      </c>
      <c r="E28" s="11"/>
      <c r="F28" s="9">
        <f t="shared" si="0"/>
        <v>1040</v>
      </c>
      <c r="G28" s="11">
        <v>300</v>
      </c>
      <c r="H28" s="11">
        <v>20</v>
      </c>
      <c r="I28" s="11"/>
      <c r="J28" s="9">
        <f t="shared" si="1"/>
        <v>720</v>
      </c>
      <c r="K28" s="11"/>
    </row>
    <row r="29" spans="1:11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112</v>
      </c>
      <c r="D29" s="11">
        <v>20</v>
      </c>
      <c r="E29" s="11"/>
      <c r="F29" s="9">
        <f t="shared" si="0"/>
        <v>132</v>
      </c>
      <c r="G29" s="11"/>
      <c r="H29" s="11">
        <v>39</v>
      </c>
      <c r="I29" s="11"/>
      <c r="J29" s="9">
        <f t="shared" si="1"/>
        <v>93</v>
      </c>
      <c r="K29" s="11"/>
    </row>
    <row r="30" spans="1:11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465</v>
      </c>
      <c r="D30" s="13"/>
      <c r="E30" s="13"/>
      <c r="F30" s="9">
        <f t="shared" si="0"/>
        <v>465</v>
      </c>
      <c r="G30" s="13"/>
      <c r="H30" s="13"/>
      <c r="I30" s="13"/>
      <c r="J30" s="9">
        <f t="shared" si="1"/>
        <v>465</v>
      </c>
      <c r="K30" s="13"/>
    </row>
    <row r="31" spans="1:11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</row>
    <row r="32" spans="1:11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856</v>
      </c>
      <c r="D32" s="11"/>
      <c r="E32" s="11"/>
      <c r="F32" s="9">
        <f t="shared" si="0"/>
        <v>856</v>
      </c>
      <c r="G32" s="11">
        <v>60</v>
      </c>
      <c r="H32" s="11">
        <v>10</v>
      </c>
      <c r="I32" s="11"/>
      <c r="J32" s="9">
        <f t="shared" si="1"/>
        <v>786</v>
      </c>
      <c r="K32" s="11"/>
    </row>
    <row r="33" spans="1:11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439</v>
      </c>
      <c r="D33" s="11">
        <v>74</v>
      </c>
      <c r="E33" s="11">
        <v>16</v>
      </c>
      <c r="F33" s="9">
        <f t="shared" si="0"/>
        <v>529</v>
      </c>
      <c r="G33" s="11"/>
      <c r="H33" s="11">
        <v>202</v>
      </c>
      <c r="I33" s="11">
        <v>4</v>
      </c>
      <c r="J33" s="9">
        <f t="shared" si="1"/>
        <v>323</v>
      </c>
      <c r="K33" s="11"/>
    </row>
    <row r="34" spans="1:11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68</v>
      </c>
      <c r="D34" s="11">
        <v>490</v>
      </c>
      <c r="E34" s="11">
        <v>1</v>
      </c>
      <c r="F34" s="9">
        <f t="shared" si="0"/>
        <v>559</v>
      </c>
      <c r="G34" s="11"/>
      <c r="H34" s="11">
        <v>252</v>
      </c>
      <c r="I34" s="11">
        <v>8</v>
      </c>
      <c r="J34" s="9">
        <f t="shared" si="1"/>
        <v>299</v>
      </c>
      <c r="K34" s="11"/>
    </row>
    <row r="35" spans="1:11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536</v>
      </c>
      <c r="D35" s="11"/>
      <c r="E35" s="11"/>
      <c r="F35" s="9">
        <f t="shared" si="0"/>
        <v>536</v>
      </c>
      <c r="G35" s="11"/>
      <c r="H35" s="11">
        <v>2</v>
      </c>
      <c r="I35" s="11"/>
      <c r="J35" s="9">
        <f t="shared" si="1"/>
        <v>534</v>
      </c>
      <c r="K35" s="11"/>
    </row>
    <row r="36" spans="1:11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2147</v>
      </c>
      <c r="D36" s="11">
        <v>48</v>
      </c>
      <c r="E36" s="11"/>
      <c r="F36" s="9">
        <f t="shared" si="0"/>
        <v>2195</v>
      </c>
      <c r="G36" s="11"/>
      <c r="H36" s="11"/>
      <c r="I36" s="11"/>
      <c r="J36" s="9">
        <f t="shared" si="1"/>
        <v>2195</v>
      </c>
      <c r="K36" s="11"/>
    </row>
    <row r="37" spans="1:11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15</v>
      </c>
      <c r="D37" s="11">
        <v>120</v>
      </c>
      <c r="E37" s="11"/>
      <c r="F37" s="9">
        <f t="shared" si="0"/>
        <v>135</v>
      </c>
      <c r="G37" s="11"/>
      <c r="H37" s="11">
        <v>27</v>
      </c>
      <c r="I37" s="11"/>
      <c r="J37" s="9">
        <f t="shared" si="1"/>
        <v>108</v>
      </c>
      <c r="K37" s="11"/>
    </row>
    <row r="38" spans="1:11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116</v>
      </c>
      <c r="D38" s="11">
        <v>72</v>
      </c>
      <c r="E38" s="11"/>
      <c r="F38" s="9">
        <f t="shared" si="0"/>
        <v>188</v>
      </c>
      <c r="G38" s="11"/>
      <c r="H38" s="11">
        <v>82</v>
      </c>
      <c r="I38" s="11"/>
      <c r="J38" s="9">
        <f t="shared" si="1"/>
        <v>106</v>
      </c>
      <c r="K38" s="11"/>
    </row>
    <row r="39" spans="1:11" ht="17.25" customHeight="1">
      <c r="A39" s="7"/>
      <c r="B39" s="15"/>
      <c r="C39" s="11"/>
      <c r="D39" s="10"/>
      <c r="E39" s="10"/>
      <c r="F39" s="9"/>
      <c r="G39" s="10"/>
      <c r="H39" s="10"/>
      <c r="I39" s="10"/>
      <c r="J39" s="9"/>
      <c r="K39" s="10"/>
    </row>
    <row r="40" spans="1:11" ht="17.25" customHeight="1">
      <c r="A40" s="7"/>
      <c r="B40" s="12"/>
      <c r="C40" s="11"/>
      <c r="D40" s="10"/>
      <c r="E40" s="10"/>
      <c r="F40" s="9"/>
      <c r="G40" s="10"/>
      <c r="H40" s="10"/>
      <c r="I40" s="10"/>
      <c r="J40" s="9"/>
      <c r="K40" s="10"/>
    </row>
    <row r="41" spans="1:11" ht="18">
      <c r="A41" s="16"/>
      <c r="B41" s="17"/>
      <c r="C41" s="17"/>
      <c r="D41" s="17"/>
      <c r="E41" s="17"/>
      <c r="F41" s="17"/>
      <c r="G41" s="17"/>
      <c r="H41" s="17"/>
      <c r="I41" s="17"/>
      <c r="J41" s="54"/>
      <c r="K41" s="17"/>
    </row>
    <row r="42" spans="1:11" ht="15.75">
      <c r="A42" s="18" t="s">
        <v>60</v>
      </c>
      <c r="B42" s="18"/>
      <c r="C42" s="18"/>
      <c r="D42" s="18"/>
      <c r="E42" s="18"/>
      <c r="F42" s="18"/>
      <c r="G42" s="18"/>
      <c r="H42" s="19"/>
      <c r="I42" s="18"/>
      <c r="J42" s="18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3"/>
  <sheetViews>
    <sheetView topLeftCell="A10" zoomScaleNormal="100" workbookViewId="0">
      <selection activeCell="O22" sqref="O22"/>
    </sheetView>
  </sheetViews>
  <sheetFormatPr defaultRowHeight="15"/>
  <cols>
    <col min="1" max="1" width="17.85546875" customWidth="1"/>
    <col min="2" max="2" width="8.42578125" customWidth="1"/>
    <col min="5" max="5" width="8.28515625" customWidth="1"/>
    <col min="7" max="7" width="8" customWidth="1"/>
    <col min="8" max="8" width="8.28515625" customWidth="1"/>
    <col min="9" max="9" width="7.42578125" customWidth="1"/>
    <col min="10" max="10" width="8.28515625" bestFit="1" customWidth="1"/>
  </cols>
  <sheetData>
    <row r="1" spans="1:13" ht="27">
      <c r="A1" s="81" t="s">
        <v>14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3">
      <c r="A2" s="82" t="s">
        <v>15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3" ht="18">
      <c r="A3" s="83" t="s">
        <v>16</v>
      </c>
      <c r="B3" s="83"/>
      <c r="C3" s="83"/>
      <c r="D3" s="83"/>
      <c r="E3" s="83"/>
      <c r="F3" s="83"/>
      <c r="G3" s="83"/>
      <c r="H3" s="83"/>
      <c r="I3" s="83"/>
      <c r="J3" s="83"/>
      <c r="K3" s="83"/>
    </row>
    <row r="4" spans="1:13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66</v>
      </c>
    </row>
    <row r="5" spans="1:13" ht="17.25" customHeight="1">
      <c r="A5" s="8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0" t="s">
        <v>26</v>
      </c>
    </row>
    <row r="6" spans="1:13" ht="17.25" customHeight="1">
      <c r="A6" s="8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1"/>
    </row>
    <row r="7" spans="1:13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11">
        <v>531</v>
      </c>
      <c r="D7" s="9"/>
      <c r="E7" s="9">
        <v>20</v>
      </c>
      <c r="F7" s="9">
        <f>C7+D7+E7</f>
        <v>551</v>
      </c>
      <c r="G7" s="9"/>
      <c r="H7" s="9">
        <v>21</v>
      </c>
      <c r="I7" s="9"/>
      <c r="J7" s="9">
        <f>F7-G7-H7-I7</f>
        <v>530</v>
      </c>
      <c r="K7" s="49"/>
    </row>
    <row r="8" spans="1:13" ht="17.25" customHeight="1">
      <c r="A8" s="7" t="str">
        <f>'Company Stock '!A9</f>
        <v xml:space="preserve">Aqua Amla </v>
      </c>
      <c r="B8" s="8" t="str">
        <f>'Company Stock '!B9</f>
        <v>500gm</v>
      </c>
      <c r="C8" s="11">
        <v>295</v>
      </c>
      <c r="D8" s="11"/>
      <c r="E8" s="11">
        <v>6</v>
      </c>
      <c r="F8" s="9">
        <f t="shared" ref="F8:F38" si="0">C8+D8+E8</f>
        <v>301</v>
      </c>
      <c r="G8" s="11"/>
      <c r="H8" s="11">
        <v>24</v>
      </c>
      <c r="I8" s="11"/>
      <c r="J8" s="9">
        <f t="shared" ref="J8:J38" si="1">F8-G8-H8-I8</f>
        <v>277</v>
      </c>
      <c r="K8" s="50"/>
    </row>
    <row r="9" spans="1:13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11">
        <v>421</v>
      </c>
      <c r="D9" s="11">
        <v>200</v>
      </c>
      <c r="E9" s="11">
        <v>2</v>
      </c>
      <c r="F9" s="9">
        <f t="shared" si="0"/>
        <v>623</v>
      </c>
      <c r="G9" s="11"/>
      <c r="H9" s="11">
        <v>25</v>
      </c>
      <c r="I9" s="11"/>
      <c r="J9" s="9">
        <f t="shared" si="1"/>
        <v>598</v>
      </c>
      <c r="K9" s="50"/>
    </row>
    <row r="10" spans="1:13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11">
        <v>185</v>
      </c>
      <c r="D10" s="11"/>
      <c r="E10" s="11"/>
      <c r="F10" s="9">
        <f t="shared" si="0"/>
        <v>185</v>
      </c>
      <c r="G10" s="11"/>
      <c r="H10" s="11">
        <v>21</v>
      </c>
      <c r="I10" s="11"/>
      <c r="J10" s="9">
        <f t="shared" si="1"/>
        <v>164</v>
      </c>
      <c r="K10" s="50"/>
    </row>
    <row r="11" spans="1:13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656</v>
      </c>
      <c r="D11" s="11"/>
      <c r="E11" s="11">
        <v>16</v>
      </c>
      <c r="F11" s="9">
        <f t="shared" si="0"/>
        <v>672</v>
      </c>
      <c r="G11" s="11"/>
      <c r="H11" s="11">
        <v>5</v>
      </c>
      <c r="I11" s="11"/>
      <c r="J11" s="9">
        <f t="shared" si="1"/>
        <v>667</v>
      </c>
      <c r="K11" s="50"/>
    </row>
    <row r="12" spans="1:13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208</v>
      </c>
      <c r="D12" s="11">
        <v>75</v>
      </c>
      <c r="E12" s="11">
        <v>4</v>
      </c>
      <c r="F12" s="9">
        <f t="shared" si="0"/>
        <v>287</v>
      </c>
      <c r="G12" s="11"/>
      <c r="H12" s="11">
        <v>28</v>
      </c>
      <c r="I12" s="11"/>
      <c r="J12" s="9">
        <f t="shared" si="1"/>
        <v>259</v>
      </c>
      <c r="K12" s="50"/>
    </row>
    <row r="13" spans="1:13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605</v>
      </c>
      <c r="D13" s="11"/>
      <c r="E13" s="11">
        <v>9</v>
      </c>
      <c r="F13" s="9">
        <f t="shared" si="0"/>
        <v>614</v>
      </c>
      <c r="G13" s="11"/>
      <c r="H13" s="11">
        <v>31</v>
      </c>
      <c r="I13" s="11"/>
      <c r="J13" s="9">
        <f t="shared" si="1"/>
        <v>583</v>
      </c>
      <c r="K13" s="50"/>
    </row>
    <row r="14" spans="1:13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260</v>
      </c>
      <c r="D14" s="11"/>
      <c r="E14" s="11">
        <v>18</v>
      </c>
      <c r="F14" s="9">
        <f t="shared" si="0"/>
        <v>278</v>
      </c>
      <c r="G14" s="11"/>
      <c r="H14" s="11">
        <v>31</v>
      </c>
      <c r="I14" s="11"/>
      <c r="J14" s="9">
        <f t="shared" si="1"/>
        <v>247</v>
      </c>
      <c r="K14" s="50"/>
    </row>
    <row r="15" spans="1:13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177</v>
      </c>
      <c r="D15" s="11"/>
      <c r="E15" s="11"/>
      <c r="F15" s="9">
        <f t="shared" si="0"/>
        <v>177</v>
      </c>
      <c r="G15" s="11"/>
      <c r="H15" s="11"/>
      <c r="I15" s="11"/>
      <c r="J15" s="9">
        <f t="shared" si="1"/>
        <v>177</v>
      </c>
      <c r="K15" s="50"/>
    </row>
    <row r="16" spans="1:13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810</v>
      </c>
      <c r="D16" s="11"/>
      <c r="E16" s="11">
        <v>4</v>
      </c>
      <c r="F16" s="9">
        <f t="shared" si="0"/>
        <v>814</v>
      </c>
      <c r="G16" s="11"/>
      <c r="H16" s="11">
        <v>61</v>
      </c>
      <c r="I16" s="11"/>
      <c r="J16" s="9">
        <f t="shared" si="1"/>
        <v>753</v>
      </c>
      <c r="K16" s="50"/>
      <c r="L16" s="53"/>
      <c r="M16" s="55"/>
    </row>
    <row r="17" spans="1:13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207</v>
      </c>
      <c r="D17" s="11">
        <v>100</v>
      </c>
      <c r="E17" s="11">
        <v>1</v>
      </c>
      <c r="F17" s="9">
        <f t="shared" si="0"/>
        <v>308</v>
      </c>
      <c r="G17" s="11"/>
      <c r="H17" s="11">
        <v>35</v>
      </c>
      <c r="I17" s="11"/>
      <c r="J17" s="9">
        <f t="shared" si="1"/>
        <v>273</v>
      </c>
      <c r="K17" s="50"/>
      <c r="L17" s="53"/>
      <c r="M17" s="55"/>
    </row>
    <row r="18" spans="1:13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485</v>
      </c>
      <c r="D18" s="11"/>
      <c r="E18" s="11">
        <v>16</v>
      </c>
      <c r="F18" s="9">
        <f t="shared" si="0"/>
        <v>501</v>
      </c>
      <c r="G18" s="11"/>
      <c r="H18" s="11"/>
      <c r="I18" s="11"/>
      <c r="J18" s="9">
        <f t="shared" si="1"/>
        <v>501</v>
      </c>
      <c r="K18" s="50"/>
      <c r="L18" s="53"/>
      <c r="M18" s="55"/>
    </row>
    <row r="19" spans="1:13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50"/>
      <c r="L19" s="53"/>
      <c r="M19" s="55"/>
    </row>
    <row r="20" spans="1:13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6</v>
      </c>
      <c r="D20" s="12"/>
      <c r="E20" s="12">
        <v>4</v>
      </c>
      <c r="F20" s="9">
        <f t="shared" si="0"/>
        <v>10</v>
      </c>
      <c r="G20" s="12"/>
      <c r="H20" s="12"/>
      <c r="I20" s="12"/>
      <c r="J20" s="9">
        <f t="shared" si="1"/>
        <v>10</v>
      </c>
      <c r="K20" s="50"/>
      <c r="L20" s="53"/>
      <c r="M20" s="55"/>
    </row>
    <row r="21" spans="1:13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40</v>
      </c>
      <c r="D21" s="11"/>
      <c r="E21" s="11">
        <v>10</v>
      </c>
      <c r="F21" s="9">
        <f t="shared" si="0"/>
        <v>50</v>
      </c>
      <c r="G21" s="11"/>
      <c r="H21" s="11"/>
      <c r="I21" s="11"/>
      <c r="J21" s="9">
        <f t="shared" si="1"/>
        <v>50</v>
      </c>
      <c r="K21" s="50"/>
      <c r="L21" s="53"/>
      <c r="M21" s="55"/>
    </row>
    <row r="22" spans="1:13" ht="17.25" customHeight="1">
      <c r="A22" s="7" t="str">
        <f>'Company Stock '!A23</f>
        <v>Green Vita</v>
      </c>
      <c r="B22" s="8" t="str">
        <f>'Company Stock '!B23</f>
        <v>500gm</v>
      </c>
      <c r="C22" s="11">
        <v>102</v>
      </c>
      <c r="D22" s="11"/>
      <c r="E22" s="11">
        <v>18</v>
      </c>
      <c r="F22" s="9">
        <f t="shared" si="0"/>
        <v>120</v>
      </c>
      <c r="G22" s="11"/>
      <c r="H22" s="11"/>
      <c r="I22" s="11"/>
      <c r="J22" s="9">
        <f t="shared" si="1"/>
        <v>120</v>
      </c>
      <c r="K22" s="50"/>
      <c r="L22" s="53"/>
      <c r="M22" s="55"/>
    </row>
    <row r="23" spans="1:13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98</v>
      </c>
      <c r="D23" s="11"/>
      <c r="E23" s="11">
        <v>12</v>
      </c>
      <c r="F23" s="9">
        <f t="shared" si="0"/>
        <v>110</v>
      </c>
      <c r="G23" s="11"/>
      <c r="H23" s="11"/>
      <c r="I23" s="11"/>
      <c r="J23" s="9">
        <f t="shared" si="1"/>
        <v>110</v>
      </c>
      <c r="K23" s="50"/>
      <c r="L23" s="53"/>
      <c r="M23" s="55"/>
    </row>
    <row r="24" spans="1:13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11">
        <v>162</v>
      </c>
      <c r="D24" s="11"/>
      <c r="E24" s="12">
        <v>4</v>
      </c>
      <c r="F24" s="9">
        <f t="shared" si="0"/>
        <v>166</v>
      </c>
      <c r="G24" s="11"/>
      <c r="H24" s="11"/>
      <c r="I24" s="11"/>
      <c r="J24" s="9">
        <f t="shared" si="1"/>
        <v>166</v>
      </c>
      <c r="K24" s="50"/>
      <c r="L24" s="53"/>
      <c r="M24" s="55"/>
    </row>
    <row r="25" spans="1:13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11">
        <v>271</v>
      </c>
      <c r="D25" s="11"/>
      <c r="E25" s="12">
        <v>5.5</v>
      </c>
      <c r="F25" s="9">
        <f t="shared" si="0"/>
        <v>276.5</v>
      </c>
      <c r="G25" s="11"/>
      <c r="H25" s="11"/>
      <c r="I25" s="11"/>
      <c r="J25" s="9">
        <f t="shared" si="1"/>
        <v>276.5</v>
      </c>
      <c r="K25" s="50"/>
      <c r="L25" s="53"/>
      <c r="M25" s="55"/>
    </row>
    <row r="26" spans="1:13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294</v>
      </c>
      <c r="D26" s="11"/>
      <c r="E26" s="11"/>
      <c r="F26" s="9">
        <f t="shared" si="0"/>
        <v>294</v>
      </c>
      <c r="G26" s="11"/>
      <c r="H26" s="11">
        <v>10</v>
      </c>
      <c r="I26" s="11"/>
      <c r="J26" s="9">
        <f t="shared" si="1"/>
        <v>284</v>
      </c>
      <c r="K26" s="50"/>
      <c r="L26" s="53"/>
      <c r="M26" s="55"/>
    </row>
    <row r="27" spans="1:13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55</v>
      </c>
      <c r="D27" s="11"/>
      <c r="E27" s="11"/>
      <c r="F27" s="9">
        <f t="shared" si="0"/>
        <v>55</v>
      </c>
      <c r="G27" s="11"/>
      <c r="H27" s="11">
        <v>36</v>
      </c>
      <c r="I27" s="11"/>
      <c r="J27" s="9">
        <f t="shared" si="1"/>
        <v>19</v>
      </c>
      <c r="K27" s="50"/>
      <c r="L27" s="53"/>
      <c r="M27" s="55"/>
    </row>
    <row r="28" spans="1:13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0</v>
      </c>
      <c r="D28" s="11">
        <v>300</v>
      </c>
      <c r="E28" s="11"/>
      <c r="F28" s="9">
        <f t="shared" si="0"/>
        <v>300</v>
      </c>
      <c r="G28" s="11"/>
      <c r="H28" s="11"/>
      <c r="I28" s="11"/>
      <c r="J28" s="9">
        <f t="shared" si="1"/>
        <v>300</v>
      </c>
      <c r="K28" s="50"/>
      <c r="L28" s="53"/>
      <c r="M28" s="55"/>
    </row>
    <row r="29" spans="1:13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40</v>
      </c>
      <c r="D29" s="11"/>
      <c r="E29" s="11">
        <v>12</v>
      </c>
      <c r="F29" s="9">
        <f t="shared" si="0"/>
        <v>52</v>
      </c>
      <c r="G29" s="11"/>
      <c r="H29" s="11">
        <v>10</v>
      </c>
      <c r="I29" s="11"/>
      <c r="J29" s="9">
        <f t="shared" si="1"/>
        <v>42</v>
      </c>
      <c r="K29" s="50"/>
      <c r="L29" s="53"/>
      <c r="M29" s="55"/>
    </row>
    <row r="30" spans="1:13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51"/>
      <c r="L30" s="53"/>
      <c r="M30" s="55"/>
    </row>
    <row r="31" spans="1:13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51"/>
      <c r="L31" s="53"/>
      <c r="M31" s="55"/>
    </row>
    <row r="32" spans="1:13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69</v>
      </c>
      <c r="D32" s="11">
        <v>60</v>
      </c>
      <c r="E32" s="11">
        <v>4</v>
      </c>
      <c r="F32" s="9">
        <f t="shared" si="0"/>
        <v>133</v>
      </c>
      <c r="G32" s="11"/>
      <c r="H32" s="11">
        <v>30</v>
      </c>
      <c r="I32" s="11"/>
      <c r="J32" s="9">
        <f t="shared" si="1"/>
        <v>103</v>
      </c>
      <c r="K32" s="50"/>
      <c r="L32" s="53"/>
      <c r="M32" s="55"/>
    </row>
    <row r="33" spans="1:13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888</v>
      </c>
      <c r="D33" s="11"/>
      <c r="E33" s="11">
        <v>15</v>
      </c>
      <c r="F33" s="9">
        <f t="shared" si="0"/>
        <v>903</v>
      </c>
      <c r="G33" s="11"/>
      <c r="H33" s="11">
        <v>85</v>
      </c>
      <c r="I33" s="11"/>
      <c r="J33" s="9">
        <f t="shared" si="1"/>
        <v>818</v>
      </c>
      <c r="K33" s="50"/>
      <c r="L33" s="53"/>
      <c r="M33" s="55"/>
    </row>
    <row r="34" spans="1:13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102</v>
      </c>
      <c r="D34" s="11"/>
      <c r="E34" s="11">
        <v>6</v>
      </c>
      <c r="F34" s="9">
        <f t="shared" si="0"/>
        <v>108</v>
      </c>
      <c r="G34" s="11"/>
      <c r="H34" s="11">
        <v>32</v>
      </c>
      <c r="I34" s="11"/>
      <c r="J34" s="9">
        <f t="shared" si="1"/>
        <v>76</v>
      </c>
      <c r="K34" s="50"/>
      <c r="L34" s="53"/>
      <c r="M34" s="55"/>
    </row>
    <row r="35" spans="1:13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726</v>
      </c>
      <c r="D35" s="11"/>
      <c r="E35" s="11">
        <v>6</v>
      </c>
      <c r="F35" s="9">
        <f t="shared" si="0"/>
        <v>732</v>
      </c>
      <c r="G35" s="11"/>
      <c r="H35" s="11"/>
      <c r="I35" s="11"/>
      <c r="J35" s="9">
        <f t="shared" si="1"/>
        <v>732</v>
      </c>
      <c r="K35" s="50"/>
      <c r="L35" s="53"/>
      <c r="M35" s="55"/>
    </row>
    <row r="36" spans="1:13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614</v>
      </c>
      <c r="D36" s="11"/>
      <c r="E36" s="11"/>
      <c r="F36" s="9">
        <f t="shared" si="0"/>
        <v>614</v>
      </c>
      <c r="G36" s="11"/>
      <c r="H36" s="11"/>
      <c r="I36" s="11"/>
      <c r="J36" s="9">
        <f t="shared" si="1"/>
        <v>614</v>
      </c>
      <c r="K36" s="50"/>
      <c r="L36" s="53"/>
      <c r="M36" s="55"/>
    </row>
    <row r="37" spans="1:13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633</v>
      </c>
      <c r="D37" s="11"/>
      <c r="E37" s="11"/>
      <c r="F37" s="9">
        <f t="shared" si="0"/>
        <v>633</v>
      </c>
      <c r="G37" s="11"/>
      <c r="H37" s="11">
        <v>6</v>
      </c>
      <c r="I37" s="11"/>
      <c r="J37" s="9">
        <f t="shared" si="1"/>
        <v>627</v>
      </c>
      <c r="K37" s="50"/>
      <c r="L37" s="53"/>
      <c r="M37" s="55"/>
    </row>
    <row r="38" spans="1:13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178</v>
      </c>
      <c r="D38" s="11"/>
      <c r="E38" s="11"/>
      <c r="F38" s="9">
        <f t="shared" si="0"/>
        <v>178</v>
      </c>
      <c r="G38" s="11"/>
      <c r="H38" s="11">
        <v>5</v>
      </c>
      <c r="I38" s="11"/>
      <c r="J38" s="9">
        <f t="shared" si="1"/>
        <v>173</v>
      </c>
      <c r="K38" s="50"/>
      <c r="L38" s="53"/>
      <c r="M38" s="55"/>
    </row>
    <row r="39" spans="1:13" ht="17.25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52"/>
    </row>
    <row r="40" spans="1:13" ht="17.25" customHeight="1">
      <c r="A40" s="14"/>
      <c r="B40" s="12"/>
      <c r="C40" s="10"/>
      <c r="D40" s="10"/>
      <c r="E40" s="10"/>
      <c r="F40" s="10"/>
      <c r="G40" s="10"/>
      <c r="H40" s="10"/>
      <c r="I40" s="10"/>
      <c r="J40" s="10"/>
      <c r="K40" s="52"/>
    </row>
    <row r="41" spans="1:13" ht="18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3" ht="18">
      <c r="A42" s="16"/>
      <c r="B42" s="17"/>
      <c r="C42" s="17"/>
      <c r="D42" s="17"/>
      <c r="E42" s="17"/>
      <c r="F42" s="17"/>
      <c r="G42" s="17"/>
      <c r="H42" s="17"/>
      <c r="I42" s="17"/>
      <c r="J42" s="54"/>
      <c r="K42" s="56"/>
    </row>
    <row r="43" spans="1:13" ht="15.75">
      <c r="A43" s="18" t="s">
        <v>60</v>
      </c>
      <c r="B43" s="18"/>
      <c r="C43" s="18"/>
      <c r="D43" s="18"/>
      <c r="E43" s="18"/>
      <c r="F43" s="18"/>
      <c r="G43" s="18"/>
      <c r="H43" s="19"/>
      <c r="I43" s="18"/>
      <c r="J43" s="18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3"/>
  <sheetViews>
    <sheetView topLeftCell="A17" zoomScaleNormal="100" workbookViewId="0">
      <selection activeCell="J41" sqref="J41"/>
    </sheetView>
  </sheetViews>
  <sheetFormatPr defaultRowHeight="14.25"/>
  <cols>
    <col min="1" max="1" width="18.42578125" style="59" customWidth="1"/>
    <col min="2" max="2" width="8.85546875" style="59" customWidth="1"/>
    <col min="3" max="3" width="8.42578125" style="59" customWidth="1"/>
    <col min="4" max="4" width="9.140625" style="59"/>
    <col min="5" max="5" width="8.28515625" style="59" customWidth="1"/>
    <col min="6" max="6" width="8.42578125" style="59" customWidth="1"/>
    <col min="7" max="7" width="8.28515625" style="59" customWidth="1"/>
    <col min="8" max="8" width="7.85546875" style="59" customWidth="1"/>
    <col min="9" max="9" width="7.28515625" style="59" customWidth="1"/>
    <col min="10" max="10" width="10" style="59" bestFit="1" customWidth="1"/>
    <col min="11" max="11" width="8.28515625" style="59" customWidth="1"/>
    <col min="12" max="16384" width="9.140625" style="59"/>
  </cols>
  <sheetData>
    <row r="1" spans="1:11" ht="27">
      <c r="A1" s="92" t="s">
        <v>14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>
      <c r="A2" s="93" t="s">
        <v>15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 ht="18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4" spans="1:11" ht="15">
      <c r="A4" s="60" t="s">
        <v>78</v>
      </c>
      <c r="B4" s="60"/>
      <c r="C4" s="60"/>
      <c r="D4" s="60"/>
      <c r="E4" s="60"/>
      <c r="F4" s="60"/>
      <c r="G4" s="60"/>
      <c r="H4" s="61"/>
      <c r="J4" s="61"/>
      <c r="K4" s="62" t="s">
        <v>64</v>
      </c>
    </row>
    <row r="5" spans="1:11" ht="18" customHeight="1">
      <c r="A5" s="95" t="s">
        <v>17</v>
      </c>
      <c r="B5" s="63" t="s">
        <v>1</v>
      </c>
      <c r="C5" s="63" t="s">
        <v>18</v>
      </c>
      <c r="D5" s="63" t="s">
        <v>19</v>
      </c>
      <c r="E5" s="63" t="s">
        <v>20</v>
      </c>
      <c r="F5" s="63" t="s">
        <v>21</v>
      </c>
      <c r="G5" s="63" t="s">
        <v>22</v>
      </c>
      <c r="H5" s="63" t="s">
        <v>23</v>
      </c>
      <c r="I5" s="63" t="s">
        <v>24</v>
      </c>
      <c r="J5" s="63" t="s">
        <v>25</v>
      </c>
      <c r="K5" s="96" t="s">
        <v>26</v>
      </c>
    </row>
    <row r="6" spans="1:11" ht="18" customHeight="1">
      <c r="A6" s="95"/>
      <c r="B6" s="64" t="s">
        <v>7</v>
      </c>
      <c r="C6" s="64" t="s">
        <v>27</v>
      </c>
      <c r="D6" s="64" t="s">
        <v>28</v>
      </c>
      <c r="E6" s="64" t="s">
        <v>29</v>
      </c>
      <c r="F6" s="64" t="s">
        <v>29</v>
      </c>
      <c r="G6" s="64" t="s">
        <v>29</v>
      </c>
      <c r="H6" s="64" t="s">
        <v>29</v>
      </c>
      <c r="I6" s="65" t="s">
        <v>29</v>
      </c>
      <c r="J6" s="64" t="s">
        <v>30</v>
      </c>
      <c r="K6" s="97"/>
    </row>
    <row r="7" spans="1:11" ht="18" customHeight="1">
      <c r="A7" s="66" t="str">
        <f>'Company Stock '!A8</f>
        <v xml:space="preserve">Aqua Amla </v>
      </c>
      <c r="B7" s="67" t="str">
        <f>'Company Stock '!B8</f>
        <v xml:space="preserve">100gm </v>
      </c>
      <c r="C7" s="78">
        <v>0</v>
      </c>
      <c r="D7" s="68"/>
      <c r="E7" s="68"/>
      <c r="F7" s="68">
        <f t="shared" ref="F7:F9" si="0">C7+D7+E7</f>
        <v>0</v>
      </c>
      <c r="G7" s="68"/>
      <c r="H7" s="68"/>
      <c r="I7" s="68"/>
      <c r="J7" s="68">
        <f>F7-G7-H7-I7</f>
        <v>0</v>
      </c>
      <c r="K7" s="68"/>
    </row>
    <row r="8" spans="1:11" ht="18" customHeight="1">
      <c r="A8" s="66" t="str">
        <f>'Company Stock '!A9</f>
        <v xml:space="preserve">Aqua Amla </v>
      </c>
      <c r="B8" s="67" t="str">
        <f>'Company Stock '!B9</f>
        <v>500gm</v>
      </c>
      <c r="C8" s="78">
        <v>150</v>
      </c>
      <c r="D8" s="69"/>
      <c r="E8" s="69"/>
      <c r="F8" s="68">
        <f t="shared" si="0"/>
        <v>150</v>
      </c>
      <c r="G8" s="69"/>
      <c r="H8" s="69"/>
      <c r="I8" s="69"/>
      <c r="J8" s="68">
        <f t="shared" ref="J8:J38" si="1">F8-G8-H8-I8</f>
        <v>150</v>
      </c>
      <c r="K8" s="69"/>
    </row>
    <row r="9" spans="1:11" ht="18" customHeight="1">
      <c r="A9" s="66" t="str">
        <f>'Company Stock '!A10</f>
        <v xml:space="preserve">Aqua Milk Premium </v>
      </c>
      <c r="B9" s="67" t="str">
        <f>'Company Stock '!B10</f>
        <v>500gm</v>
      </c>
      <c r="C9" s="78">
        <v>147</v>
      </c>
      <c r="D9" s="69"/>
      <c r="E9" s="69"/>
      <c r="F9" s="68">
        <f t="shared" si="0"/>
        <v>147</v>
      </c>
      <c r="G9" s="69"/>
      <c r="H9" s="69">
        <v>20</v>
      </c>
      <c r="I9" s="69"/>
      <c r="J9" s="68">
        <f t="shared" si="1"/>
        <v>127</v>
      </c>
      <c r="K9" s="69"/>
    </row>
    <row r="10" spans="1:11" ht="18" customHeight="1">
      <c r="A10" s="66" t="str">
        <f>'Company Stock '!A11</f>
        <v xml:space="preserve">Aqua Safe Plus </v>
      </c>
      <c r="B10" s="67" t="str">
        <f>'Company Stock '!B11</f>
        <v>5kg</v>
      </c>
      <c r="C10" s="78">
        <v>101</v>
      </c>
      <c r="D10" s="69"/>
      <c r="E10" s="69"/>
      <c r="F10" s="68">
        <f>C10+D10+E10</f>
        <v>101</v>
      </c>
      <c r="G10" s="69"/>
      <c r="H10" s="69">
        <v>21</v>
      </c>
      <c r="I10" s="69"/>
      <c r="J10" s="68">
        <f t="shared" si="1"/>
        <v>80</v>
      </c>
      <c r="K10" s="69"/>
    </row>
    <row r="11" spans="1:11" ht="18" customHeight="1">
      <c r="A11" s="66" t="str">
        <f>'Company Stock '!A12</f>
        <v xml:space="preserve">Bencidal Plus </v>
      </c>
      <c r="B11" s="67" t="str">
        <f>'Company Stock '!B12</f>
        <v xml:space="preserve">100ml </v>
      </c>
      <c r="C11" s="78">
        <v>124</v>
      </c>
      <c r="D11" s="69"/>
      <c r="E11" s="69"/>
      <c r="F11" s="68">
        <f t="shared" ref="F11:F38" si="2">C11+D11+E11</f>
        <v>124</v>
      </c>
      <c r="G11" s="69"/>
      <c r="H11" s="69"/>
      <c r="I11" s="69"/>
      <c r="J11" s="68">
        <f t="shared" si="1"/>
        <v>124</v>
      </c>
      <c r="K11" s="69"/>
    </row>
    <row r="12" spans="1:11" ht="18" customHeight="1">
      <c r="A12" s="66" t="str">
        <f>'Company Stock '!A13</f>
        <v xml:space="preserve">Bencidal Plus </v>
      </c>
      <c r="B12" s="67" t="str">
        <f>'Company Stock '!B13</f>
        <v xml:space="preserve">500ml </v>
      </c>
      <c r="C12" s="78">
        <v>294</v>
      </c>
      <c r="D12" s="69"/>
      <c r="E12" s="69"/>
      <c r="F12" s="68">
        <f t="shared" si="2"/>
        <v>294</v>
      </c>
      <c r="G12" s="69"/>
      <c r="H12" s="69"/>
      <c r="I12" s="69"/>
      <c r="J12" s="68">
        <f t="shared" si="1"/>
        <v>294</v>
      </c>
      <c r="K12" s="69"/>
    </row>
    <row r="13" spans="1:11" ht="18" customHeight="1">
      <c r="A13" s="66" t="str">
        <f>'Company Stock '!A14</f>
        <v xml:space="preserve">Bottom Light </v>
      </c>
      <c r="B13" s="67" t="str">
        <f>'Company Stock '!B14</f>
        <v xml:space="preserve">100gm </v>
      </c>
      <c r="C13" s="78">
        <v>64</v>
      </c>
      <c r="D13" s="69"/>
      <c r="E13" s="69"/>
      <c r="F13" s="68">
        <f t="shared" si="2"/>
        <v>64</v>
      </c>
      <c r="G13" s="69"/>
      <c r="H13" s="69"/>
      <c r="I13" s="69"/>
      <c r="J13" s="68">
        <f t="shared" si="1"/>
        <v>64</v>
      </c>
      <c r="K13" s="69"/>
    </row>
    <row r="14" spans="1:11" ht="18" customHeight="1">
      <c r="A14" s="66" t="str">
        <f>'Company Stock '!A15</f>
        <v xml:space="preserve">Bottom Light </v>
      </c>
      <c r="B14" s="67" t="str">
        <f>'Company Stock '!B15</f>
        <v xml:space="preserve">500gm </v>
      </c>
      <c r="C14" s="78">
        <v>103</v>
      </c>
      <c r="D14" s="69"/>
      <c r="E14" s="69"/>
      <c r="F14" s="68">
        <f t="shared" si="2"/>
        <v>103</v>
      </c>
      <c r="G14" s="69"/>
      <c r="H14" s="69">
        <v>16</v>
      </c>
      <c r="I14" s="69"/>
      <c r="J14" s="68">
        <f t="shared" si="1"/>
        <v>87</v>
      </c>
      <c r="K14" s="69"/>
    </row>
    <row r="15" spans="1:11" ht="18" customHeight="1">
      <c r="A15" s="66" t="str">
        <f>'Company Stock '!A16</f>
        <v xml:space="preserve">Brood Plus </v>
      </c>
      <c r="B15" s="67" t="str">
        <f>'Company Stock '!B16</f>
        <v xml:space="preserve">500gm </v>
      </c>
      <c r="C15" s="78">
        <v>32</v>
      </c>
      <c r="D15" s="69"/>
      <c r="E15" s="69"/>
      <c r="F15" s="68">
        <f t="shared" si="2"/>
        <v>32</v>
      </c>
      <c r="G15" s="69"/>
      <c r="H15" s="69"/>
      <c r="I15" s="69"/>
      <c r="J15" s="68">
        <f t="shared" si="1"/>
        <v>32</v>
      </c>
      <c r="K15" s="69"/>
    </row>
    <row r="16" spans="1:11" ht="18" customHeight="1">
      <c r="A16" s="66" t="str">
        <f>'Company Stock '!A17</f>
        <v xml:space="preserve">Eco Fresh </v>
      </c>
      <c r="B16" s="67" t="str">
        <f>'Company Stock '!B17</f>
        <v xml:space="preserve">1kg </v>
      </c>
      <c r="C16" s="78">
        <v>19</v>
      </c>
      <c r="D16" s="69"/>
      <c r="E16" s="69"/>
      <c r="F16" s="68">
        <f t="shared" si="2"/>
        <v>19</v>
      </c>
      <c r="G16" s="69"/>
      <c r="H16" s="69"/>
      <c r="I16" s="69"/>
      <c r="J16" s="68">
        <f t="shared" si="1"/>
        <v>19</v>
      </c>
      <c r="K16" s="69"/>
    </row>
    <row r="17" spans="1:11" ht="18" customHeight="1">
      <c r="A17" s="66" t="str">
        <f>'Company Stock '!A18</f>
        <v xml:space="preserve">Eco Fresh Plus </v>
      </c>
      <c r="B17" s="67" t="str">
        <f>'Company Stock '!B18</f>
        <v xml:space="preserve">1kg </v>
      </c>
      <c r="C17" s="78">
        <v>66</v>
      </c>
      <c r="D17" s="69"/>
      <c r="E17" s="69"/>
      <c r="F17" s="68">
        <f t="shared" si="2"/>
        <v>66</v>
      </c>
      <c r="G17" s="69"/>
      <c r="H17" s="69">
        <v>15</v>
      </c>
      <c r="I17" s="69"/>
      <c r="J17" s="68">
        <f t="shared" si="1"/>
        <v>51</v>
      </c>
      <c r="K17" s="69"/>
    </row>
    <row r="18" spans="1:11" ht="18" customHeight="1">
      <c r="A18" s="66" t="str">
        <f>'Company Stock '!A19</f>
        <v xml:space="preserve">Energy Flow </v>
      </c>
      <c r="B18" s="67" t="str">
        <f>'Company Stock '!B19</f>
        <v xml:space="preserve">500gm </v>
      </c>
      <c r="C18" s="78">
        <v>192</v>
      </c>
      <c r="D18" s="69"/>
      <c r="E18" s="69"/>
      <c r="F18" s="68">
        <f t="shared" si="2"/>
        <v>192</v>
      </c>
      <c r="G18" s="69"/>
      <c r="H18" s="69"/>
      <c r="I18" s="69"/>
      <c r="J18" s="68">
        <f t="shared" si="1"/>
        <v>192</v>
      </c>
      <c r="K18" s="69"/>
    </row>
    <row r="19" spans="1:11" ht="18" customHeight="1">
      <c r="A19" s="66" t="str">
        <f>'Company Stock '!A20</f>
        <v xml:space="preserve">Enrosef </v>
      </c>
      <c r="B19" s="67" t="str">
        <f>'Company Stock '!B20</f>
        <v xml:space="preserve">100ml </v>
      </c>
      <c r="C19" s="78">
        <v>0</v>
      </c>
      <c r="D19" s="69"/>
      <c r="E19" s="69"/>
      <c r="F19" s="68">
        <f t="shared" si="2"/>
        <v>0</v>
      </c>
      <c r="G19" s="69"/>
      <c r="H19" s="69"/>
      <c r="I19" s="69"/>
      <c r="J19" s="68">
        <f t="shared" si="1"/>
        <v>0</v>
      </c>
      <c r="K19" s="69"/>
    </row>
    <row r="20" spans="1:11" ht="18" customHeight="1">
      <c r="A20" s="66" t="str">
        <f>'Company Stock '!A21</f>
        <v xml:space="preserve">Enrosef </v>
      </c>
      <c r="B20" s="67" t="str">
        <f>'Company Stock '!B21</f>
        <v xml:space="preserve">500ml </v>
      </c>
      <c r="C20" s="78">
        <v>0</v>
      </c>
      <c r="D20" s="70"/>
      <c r="E20" s="70"/>
      <c r="F20" s="68">
        <f t="shared" si="2"/>
        <v>0</v>
      </c>
      <c r="G20" s="70"/>
      <c r="H20" s="70"/>
      <c r="I20" s="70"/>
      <c r="J20" s="68">
        <f t="shared" si="1"/>
        <v>0</v>
      </c>
      <c r="K20" s="70"/>
    </row>
    <row r="21" spans="1:11" ht="18" customHeight="1">
      <c r="A21" s="66" t="str">
        <f>'Company Stock '!A22</f>
        <v xml:space="preserve">Erostep </v>
      </c>
      <c r="B21" s="67" t="str">
        <f>'Company Stock '!B22</f>
        <v xml:space="preserve">100gm </v>
      </c>
      <c r="C21" s="78">
        <v>39</v>
      </c>
      <c r="D21" s="69"/>
      <c r="E21" s="69"/>
      <c r="F21" s="68">
        <f t="shared" si="2"/>
        <v>39</v>
      </c>
      <c r="G21" s="69"/>
      <c r="H21" s="69"/>
      <c r="I21" s="69"/>
      <c r="J21" s="68">
        <f t="shared" si="1"/>
        <v>39</v>
      </c>
      <c r="K21" s="69"/>
    </row>
    <row r="22" spans="1:11" ht="18" customHeight="1">
      <c r="A22" s="66" t="str">
        <f>'Company Stock '!A23</f>
        <v>Green Vita</v>
      </c>
      <c r="B22" s="67" t="str">
        <f>'Company Stock '!B23</f>
        <v>500gm</v>
      </c>
      <c r="C22" s="78">
        <v>0</v>
      </c>
      <c r="D22" s="69"/>
      <c r="E22" s="69"/>
      <c r="F22" s="68">
        <f t="shared" si="2"/>
        <v>0</v>
      </c>
      <c r="G22" s="69"/>
      <c r="H22" s="69"/>
      <c r="I22" s="69"/>
      <c r="J22" s="68">
        <f t="shared" si="1"/>
        <v>0</v>
      </c>
      <c r="K22" s="69"/>
    </row>
    <row r="23" spans="1:11" ht="18" customHeight="1">
      <c r="A23" s="66" t="str">
        <f>'Company Stock '!A24</f>
        <v xml:space="preserve">Liver Win </v>
      </c>
      <c r="B23" s="67" t="str">
        <f>'Company Stock '!B24</f>
        <v xml:space="preserve">500ml </v>
      </c>
      <c r="C23" s="78">
        <v>128</v>
      </c>
      <c r="D23" s="69"/>
      <c r="E23" s="69"/>
      <c r="F23" s="68">
        <f t="shared" si="2"/>
        <v>128</v>
      </c>
      <c r="G23" s="69"/>
      <c r="H23" s="69"/>
      <c r="I23" s="69"/>
      <c r="J23" s="68">
        <f t="shared" si="1"/>
        <v>128</v>
      </c>
      <c r="K23" s="69"/>
    </row>
    <row r="24" spans="1:11" ht="18" customHeight="1">
      <c r="A24" s="66" t="str">
        <f>'Company Stock '!A25</f>
        <v>Oxy-win (Granular)</v>
      </c>
      <c r="B24" s="67" t="str">
        <f>'Company Stock '!B25</f>
        <v xml:space="preserve">1kg </v>
      </c>
      <c r="C24" s="78">
        <v>30</v>
      </c>
      <c r="D24" s="69"/>
      <c r="E24" s="69"/>
      <c r="F24" s="68">
        <f t="shared" si="2"/>
        <v>30</v>
      </c>
      <c r="G24" s="69"/>
      <c r="H24" s="69"/>
      <c r="I24" s="69"/>
      <c r="J24" s="68">
        <f t="shared" si="1"/>
        <v>30</v>
      </c>
      <c r="K24" s="69"/>
    </row>
    <row r="25" spans="1:11" ht="18" customHeight="1">
      <c r="A25" s="66" t="str">
        <f>'Company Stock '!A26</f>
        <v>Oxy-win (Tablet)</v>
      </c>
      <c r="B25" s="67" t="str">
        <f>'Company Stock '!B26</f>
        <v xml:space="preserve">1kg </v>
      </c>
      <c r="C25" s="78">
        <v>87</v>
      </c>
      <c r="D25" s="69"/>
      <c r="E25" s="69"/>
      <c r="F25" s="68">
        <f t="shared" si="2"/>
        <v>87</v>
      </c>
      <c r="G25" s="69"/>
      <c r="H25" s="69">
        <v>10</v>
      </c>
      <c r="I25" s="69"/>
      <c r="J25" s="68">
        <f t="shared" si="1"/>
        <v>77</v>
      </c>
      <c r="K25" s="69"/>
    </row>
    <row r="26" spans="1:11" ht="18" customHeight="1">
      <c r="A26" s="66" t="str">
        <f>'Company Stock '!A27</f>
        <v xml:space="preserve">Pro Yucca for Fish </v>
      </c>
      <c r="B26" s="67" t="str">
        <f>'Company Stock '!B27</f>
        <v xml:space="preserve">100ml </v>
      </c>
      <c r="C26" s="78">
        <v>134</v>
      </c>
      <c r="D26" s="69"/>
      <c r="E26" s="69"/>
      <c r="F26" s="68">
        <f t="shared" si="2"/>
        <v>134</v>
      </c>
      <c r="G26" s="69"/>
      <c r="H26" s="69"/>
      <c r="I26" s="69"/>
      <c r="J26" s="68">
        <f t="shared" si="1"/>
        <v>134</v>
      </c>
      <c r="K26" s="69"/>
    </row>
    <row r="27" spans="1:11" ht="18" customHeight="1">
      <c r="A27" s="66" t="str">
        <f>'Company Stock '!A28</f>
        <v xml:space="preserve">Pro Yucca for Fish </v>
      </c>
      <c r="B27" s="67" t="str">
        <f>'Company Stock '!B28</f>
        <v xml:space="preserve">500ml </v>
      </c>
      <c r="C27" s="78">
        <v>195</v>
      </c>
      <c r="D27" s="69"/>
      <c r="E27" s="69"/>
      <c r="F27" s="68">
        <f t="shared" si="2"/>
        <v>195</v>
      </c>
      <c r="G27" s="69"/>
      <c r="H27" s="69"/>
      <c r="I27" s="69"/>
      <c r="J27" s="68">
        <f t="shared" si="1"/>
        <v>195</v>
      </c>
      <c r="K27" s="69"/>
    </row>
    <row r="28" spans="1:11" ht="18" customHeight="1">
      <c r="A28" s="66" t="str">
        <f>'Company Stock '!A29</f>
        <v xml:space="preserve">Vitafort Aqua </v>
      </c>
      <c r="B28" s="67" t="str">
        <f>'Company Stock '!B29</f>
        <v xml:space="preserve">500gm </v>
      </c>
      <c r="C28" s="78">
        <v>37</v>
      </c>
      <c r="D28" s="69"/>
      <c r="E28" s="69"/>
      <c r="F28" s="68">
        <f t="shared" si="2"/>
        <v>37</v>
      </c>
      <c r="G28" s="69"/>
      <c r="H28" s="69"/>
      <c r="I28" s="69"/>
      <c r="J28" s="68">
        <f t="shared" si="1"/>
        <v>37</v>
      </c>
      <c r="K28" s="69"/>
    </row>
    <row r="29" spans="1:11" ht="18" customHeight="1">
      <c r="A29" s="66" t="str">
        <f>'Company Stock '!A30</f>
        <v xml:space="preserve">Vitazyme Aqua </v>
      </c>
      <c r="B29" s="67" t="str">
        <f>'Company Stock '!B30</f>
        <v xml:space="preserve">500gm </v>
      </c>
      <c r="C29" s="78">
        <v>87</v>
      </c>
      <c r="D29" s="69"/>
      <c r="E29" s="69"/>
      <c r="F29" s="68">
        <f t="shared" si="2"/>
        <v>87</v>
      </c>
      <c r="G29" s="69"/>
      <c r="H29" s="69"/>
      <c r="I29" s="69"/>
      <c r="J29" s="68">
        <f t="shared" si="1"/>
        <v>87</v>
      </c>
      <c r="K29" s="69"/>
    </row>
    <row r="30" spans="1:11" ht="18" customHeight="1">
      <c r="A30" s="66" t="str">
        <f>'Company Stock '!A31</f>
        <v xml:space="preserve">Win C </v>
      </c>
      <c r="B30" s="67" t="str">
        <f>'Company Stock '!B31</f>
        <v xml:space="preserve">100gm </v>
      </c>
      <c r="C30" s="78">
        <v>0</v>
      </c>
      <c r="D30" s="71"/>
      <c r="E30" s="71"/>
      <c r="F30" s="68">
        <f t="shared" si="2"/>
        <v>0</v>
      </c>
      <c r="G30" s="71"/>
      <c r="H30" s="71"/>
      <c r="I30" s="71"/>
      <c r="J30" s="68">
        <f t="shared" si="1"/>
        <v>0</v>
      </c>
      <c r="K30" s="71"/>
    </row>
    <row r="31" spans="1:11" ht="18" customHeight="1">
      <c r="A31" s="66" t="str">
        <f>'Company Stock '!A32</f>
        <v xml:space="preserve">Win C </v>
      </c>
      <c r="B31" s="67" t="str">
        <f>'Company Stock '!B32</f>
        <v xml:space="preserve">500gm </v>
      </c>
      <c r="C31" s="78">
        <v>0</v>
      </c>
      <c r="D31" s="71"/>
      <c r="E31" s="71"/>
      <c r="F31" s="68">
        <f t="shared" si="2"/>
        <v>0</v>
      </c>
      <c r="G31" s="71"/>
      <c r="H31" s="71"/>
      <c r="I31" s="71"/>
      <c r="J31" s="68">
        <f t="shared" si="1"/>
        <v>0</v>
      </c>
      <c r="K31" s="71"/>
    </row>
    <row r="32" spans="1:11" ht="18" customHeight="1">
      <c r="A32" s="66" t="str">
        <f>'Company Stock '!A33</f>
        <v xml:space="preserve">Win Health </v>
      </c>
      <c r="B32" s="67" t="str">
        <f>'Company Stock '!B33</f>
        <v xml:space="preserve">500ml </v>
      </c>
      <c r="C32" s="78">
        <v>49</v>
      </c>
      <c r="D32" s="69"/>
      <c r="E32" s="69"/>
      <c r="F32" s="68">
        <f t="shared" si="2"/>
        <v>49</v>
      </c>
      <c r="G32" s="69"/>
      <c r="H32" s="69">
        <v>15</v>
      </c>
      <c r="I32" s="69"/>
      <c r="J32" s="68">
        <f t="shared" si="1"/>
        <v>34</v>
      </c>
      <c r="K32" s="69"/>
    </row>
    <row r="33" spans="1:11" ht="18" customHeight="1">
      <c r="A33" s="66" t="str">
        <f>'Company Stock '!A34</f>
        <v xml:space="preserve">Win Max Plus </v>
      </c>
      <c r="B33" s="67" t="str">
        <f>'Company Stock '!B34</f>
        <v xml:space="preserve">50ml </v>
      </c>
      <c r="C33" s="78">
        <v>91</v>
      </c>
      <c r="D33" s="69"/>
      <c r="E33" s="69"/>
      <c r="F33" s="68">
        <f t="shared" si="2"/>
        <v>91</v>
      </c>
      <c r="G33" s="69"/>
      <c r="H33" s="69"/>
      <c r="I33" s="69"/>
      <c r="J33" s="68">
        <f t="shared" si="1"/>
        <v>91</v>
      </c>
      <c r="K33" s="69"/>
    </row>
    <row r="34" spans="1:11" ht="18" customHeight="1">
      <c r="A34" s="66" t="str">
        <f>'Company Stock '!A35</f>
        <v xml:space="preserve">Win Max Plus </v>
      </c>
      <c r="B34" s="67" t="str">
        <f>'Company Stock '!B35</f>
        <v xml:space="preserve">200ml </v>
      </c>
      <c r="C34" s="78">
        <v>215</v>
      </c>
      <c r="D34" s="69"/>
      <c r="E34" s="69">
        <v>96</v>
      </c>
      <c r="F34" s="68">
        <f t="shared" si="2"/>
        <v>311</v>
      </c>
      <c r="G34" s="69"/>
      <c r="H34" s="69">
        <v>51</v>
      </c>
      <c r="I34" s="69"/>
      <c r="J34" s="68">
        <f t="shared" si="1"/>
        <v>260</v>
      </c>
      <c r="K34" s="69"/>
    </row>
    <row r="35" spans="1:11" ht="18" customHeight="1">
      <c r="A35" s="66" t="str">
        <f>'Company Stock '!A36</f>
        <v xml:space="preserve">Win Pro Aqua </v>
      </c>
      <c r="B35" s="67" t="str">
        <f>'Company Stock '!B36</f>
        <v xml:space="preserve">100gm </v>
      </c>
      <c r="C35" s="78">
        <v>94</v>
      </c>
      <c r="D35" s="69"/>
      <c r="E35" s="69"/>
      <c r="F35" s="68">
        <f t="shared" si="2"/>
        <v>94</v>
      </c>
      <c r="G35" s="69"/>
      <c r="H35" s="69"/>
      <c r="I35" s="69"/>
      <c r="J35" s="68">
        <f t="shared" si="1"/>
        <v>94</v>
      </c>
      <c r="K35" s="69"/>
    </row>
    <row r="36" spans="1:11" ht="18" customHeight="1">
      <c r="A36" s="66" t="str">
        <f>'Company Stock '!A37</f>
        <v xml:space="preserve">Win Pro Aqua </v>
      </c>
      <c r="B36" s="67" t="str">
        <f>'Company Stock '!B37</f>
        <v xml:space="preserve">200gm </v>
      </c>
      <c r="C36" s="78">
        <v>130</v>
      </c>
      <c r="D36" s="69"/>
      <c r="E36" s="69"/>
      <c r="F36" s="68">
        <f t="shared" si="2"/>
        <v>130</v>
      </c>
      <c r="G36" s="69"/>
      <c r="H36" s="69">
        <v>47</v>
      </c>
      <c r="I36" s="69"/>
      <c r="J36" s="68">
        <f t="shared" si="1"/>
        <v>83</v>
      </c>
      <c r="K36" s="69"/>
    </row>
    <row r="37" spans="1:11" ht="18" customHeight="1">
      <c r="A37" s="66" t="str">
        <f>'Company Stock '!A38</f>
        <v xml:space="preserve">Winxide Aqua </v>
      </c>
      <c r="B37" s="67" t="str">
        <f>'Company Stock '!B38</f>
        <v xml:space="preserve">100ml </v>
      </c>
      <c r="C37" s="78">
        <v>0</v>
      </c>
      <c r="D37" s="69"/>
      <c r="E37" s="69"/>
      <c r="F37" s="68">
        <f t="shared" si="2"/>
        <v>0</v>
      </c>
      <c r="G37" s="69"/>
      <c r="H37" s="69"/>
      <c r="I37" s="69"/>
      <c r="J37" s="68">
        <f t="shared" si="1"/>
        <v>0</v>
      </c>
      <c r="K37" s="69"/>
    </row>
    <row r="38" spans="1:11" ht="18" customHeight="1">
      <c r="A38" s="66" t="str">
        <f>'Company Stock '!A39</f>
        <v xml:space="preserve">Winxide Aqua </v>
      </c>
      <c r="B38" s="67" t="str">
        <f>'Company Stock '!B39</f>
        <v xml:space="preserve">500ml </v>
      </c>
      <c r="C38" s="78">
        <v>129</v>
      </c>
      <c r="D38" s="69"/>
      <c r="E38" s="69"/>
      <c r="F38" s="68">
        <f t="shared" si="2"/>
        <v>129</v>
      </c>
      <c r="G38" s="69"/>
      <c r="H38" s="69"/>
      <c r="I38" s="69"/>
      <c r="J38" s="68">
        <f t="shared" si="1"/>
        <v>129</v>
      </c>
      <c r="K38" s="69"/>
    </row>
    <row r="39" spans="1:11" ht="18" customHeight="1">
      <c r="A39" s="66"/>
      <c r="B39" s="67"/>
      <c r="C39" s="72"/>
      <c r="D39" s="72"/>
      <c r="E39" s="72"/>
      <c r="F39" s="68"/>
      <c r="G39" s="72"/>
      <c r="H39" s="72"/>
      <c r="I39" s="72"/>
      <c r="J39" s="68"/>
      <c r="K39" s="72"/>
    </row>
    <row r="40" spans="1:11" ht="18" customHeight="1">
      <c r="A40" s="66"/>
      <c r="B40" s="67"/>
      <c r="C40" s="72"/>
      <c r="D40" s="72"/>
      <c r="E40" s="72"/>
      <c r="F40" s="68"/>
      <c r="G40" s="72"/>
      <c r="H40" s="72"/>
      <c r="I40" s="72"/>
      <c r="J40" s="68"/>
      <c r="K40" s="72"/>
    </row>
    <row r="41" spans="1:11" ht="18" customHeight="1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</row>
    <row r="42" spans="1:11" ht="18" customHeight="1">
      <c r="A42" s="73"/>
      <c r="B42" s="74"/>
      <c r="C42" s="74"/>
      <c r="D42" s="74"/>
      <c r="E42" s="74"/>
      <c r="F42" s="74"/>
      <c r="G42" s="74"/>
      <c r="H42" s="74"/>
      <c r="I42" s="74"/>
      <c r="J42" s="75"/>
      <c r="K42" s="74"/>
    </row>
    <row r="43" spans="1:11" ht="18" customHeight="1">
      <c r="A43" s="76" t="s">
        <v>60</v>
      </c>
      <c r="B43" s="76"/>
      <c r="C43" s="76"/>
      <c r="D43" s="76"/>
      <c r="E43" s="76"/>
      <c r="F43" s="76"/>
      <c r="G43" s="76"/>
      <c r="H43" s="77"/>
      <c r="I43" s="76"/>
      <c r="J43" s="76"/>
      <c r="K43" s="62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" top="0.5" bottom="0.5" header="0" footer="0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zoomScaleNormal="100" workbookViewId="0">
      <selection activeCell="G18" sqref="G18"/>
    </sheetView>
  </sheetViews>
  <sheetFormatPr defaultRowHeight="14.25"/>
  <cols>
    <col min="1" max="1" width="19" style="57" customWidth="1"/>
    <col min="2" max="2" width="7.5703125" style="57" customWidth="1"/>
    <col min="3" max="4" width="9.140625" style="57"/>
    <col min="5" max="5" width="7.7109375" style="57" customWidth="1"/>
    <col min="6" max="6" width="8.140625" style="57" customWidth="1"/>
    <col min="7" max="7" width="9.140625" style="57"/>
    <col min="8" max="8" width="8.28515625" style="57" customWidth="1"/>
    <col min="9" max="9" width="7.7109375" style="57" customWidth="1"/>
    <col min="10" max="10" width="11.140625" style="57" customWidth="1"/>
    <col min="11" max="11" width="8.140625" style="57" customWidth="1"/>
    <col min="12" max="16384" width="9.140625" style="57"/>
  </cols>
  <sheetData>
    <row r="1" spans="1:11" ht="27">
      <c r="A1" s="81" t="s">
        <v>14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>
      <c r="A2" s="82" t="s">
        <v>15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ht="18">
      <c r="A3" s="83" t="s">
        <v>16</v>
      </c>
      <c r="B3" s="83"/>
      <c r="C3" s="83"/>
      <c r="D3" s="83"/>
      <c r="E3" s="83"/>
      <c r="F3" s="83"/>
      <c r="G3" s="83"/>
      <c r="H3" s="83"/>
      <c r="I3" s="83"/>
      <c r="J3" s="83"/>
      <c r="K3" s="83"/>
    </row>
    <row r="4" spans="1:11" ht="15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65</v>
      </c>
    </row>
    <row r="5" spans="1:11" ht="18" customHeight="1">
      <c r="A5" s="89" t="s">
        <v>17</v>
      </c>
      <c r="B5" s="4" t="s">
        <v>73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0" t="s">
        <v>26</v>
      </c>
    </row>
    <row r="6" spans="1:11" ht="18" customHeight="1">
      <c r="A6" s="8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1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8">
        <v>110</v>
      </c>
      <c r="D7" s="9"/>
      <c r="E7" s="9"/>
      <c r="F7" s="9">
        <f>C7+D7+E7</f>
        <v>110</v>
      </c>
      <c r="G7" s="9"/>
      <c r="H7" s="9"/>
      <c r="I7" s="9"/>
      <c r="J7" s="9">
        <f>F7-G7-H7-I7</f>
        <v>110</v>
      </c>
      <c r="K7" s="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58">
        <v>48</v>
      </c>
      <c r="D8" s="11"/>
      <c r="E8" s="11"/>
      <c r="F8" s="9">
        <f t="shared" ref="F8:F38" si="0">C8+D8+E8</f>
        <v>48</v>
      </c>
      <c r="G8" s="11"/>
      <c r="H8" s="11"/>
      <c r="I8" s="11"/>
      <c r="J8" s="9">
        <f t="shared" ref="J8:J38" si="1">F8-G8-H8-I8</f>
        <v>48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58">
        <v>119</v>
      </c>
      <c r="D9" s="11"/>
      <c r="E9" s="11"/>
      <c r="F9" s="9">
        <f t="shared" si="0"/>
        <v>119</v>
      </c>
      <c r="G9" s="11"/>
      <c r="H9" s="11"/>
      <c r="I9" s="11"/>
      <c r="J9" s="9">
        <f t="shared" si="1"/>
        <v>119</v>
      </c>
      <c r="K9" s="11"/>
    </row>
    <row r="10" spans="1:11" ht="18" customHeight="1">
      <c r="A10" s="7" t="str">
        <f>'Company Stock '!A11</f>
        <v xml:space="preserve">Aqua Safe Plus </v>
      </c>
      <c r="B10" s="20" t="str">
        <f>'Company Stock '!B11</f>
        <v>5kg</v>
      </c>
      <c r="C10" s="58">
        <v>36</v>
      </c>
      <c r="D10" s="11"/>
      <c r="E10" s="11"/>
      <c r="F10" s="9">
        <f t="shared" si="0"/>
        <v>36</v>
      </c>
      <c r="G10" s="11"/>
      <c r="H10" s="11"/>
      <c r="I10" s="11"/>
      <c r="J10" s="9">
        <f t="shared" si="1"/>
        <v>36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8">
        <v>103</v>
      </c>
      <c r="D11" s="11"/>
      <c r="E11" s="11"/>
      <c r="F11" s="9">
        <f t="shared" si="0"/>
        <v>103</v>
      </c>
      <c r="G11" s="11"/>
      <c r="H11" s="11"/>
      <c r="I11" s="11"/>
      <c r="J11" s="9">
        <f t="shared" si="1"/>
        <v>103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58">
        <v>74</v>
      </c>
      <c r="D12" s="11"/>
      <c r="E12" s="11"/>
      <c r="F12" s="9">
        <f t="shared" si="0"/>
        <v>74</v>
      </c>
      <c r="G12" s="11"/>
      <c r="H12" s="11"/>
      <c r="I12" s="11"/>
      <c r="J12" s="9">
        <f t="shared" si="1"/>
        <v>74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58">
        <v>108</v>
      </c>
      <c r="D13" s="11"/>
      <c r="E13" s="11"/>
      <c r="F13" s="9">
        <f t="shared" si="0"/>
        <v>108</v>
      </c>
      <c r="G13" s="11"/>
      <c r="H13" s="11">
        <v>20</v>
      </c>
      <c r="I13" s="11">
        <v>1</v>
      </c>
      <c r="J13" s="9">
        <f t="shared" si="1"/>
        <v>87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58">
        <v>26</v>
      </c>
      <c r="D14" s="11"/>
      <c r="E14" s="11"/>
      <c r="F14" s="9">
        <f t="shared" si="0"/>
        <v>26</v>
      </c>
      <c r="G14" s="11"/>
      <c r="H14" s="11"/>
      <c r="I14" s="11"/>
      <c r="J14" s="9">
        <f t="shared" si="1"/>
        <v>26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58">
        <v>34</v>
      </c>
      <c r="D15" s="11"/>
      <c r="E15" s="11"/>
      <c r="F15" s="9">
        <f t="shared" si="0"/>
        <v>34</v>
      </c>
      <c r="G15" s="11"/>
      <c r="H15" s="11"/>
      <c r="I15" s="11"/>
      <c r="J15" s="9">
        <f t="shared" si="1"/>
        <v>34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58">
        <v>88</v>
      </c>
      <c r="D16" s="11"/>
      <c r="E16" s="11"/>
      <c r="F16" s="9">
        <f t="shared" si="0"/>
        <v>88</v>
      </c>
      <c r="G16" s="11"/>
      <c r="H16" s="11"/>
      <c r="I16" s="11"/>
      <c r="J16" s="9">
        <f t="shared" si="1"/>
        <v>88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58">
        <v>126</v>
      </c>
      <c r="D17" s="11"/>
      <c r="E17" s="11"/>
      <c r="F17" s="9">
        <f t="shared" si="0"/>
        <v>126</v>
      </c>
      <c r="G17" s="11"/>
      <c r="H17" s="11">
        <v>10</v>
      </c>
      <c r="I17" s="11"/>
      <c r="J17" s="9">
        <f t="shared" si="1"/>
        <v>116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58">
        <v>48</v>
      </c>
      <c r="D18" s="11"/>
      <c r="E18" s="11"/>
      <c r="F18" s="9">
        <f t="shared" si="0"/>
        <v>48</v>
      </c>
      <c r="G18" s="11"/>
      <c r="H18" s="11"/>
      <c r="I18" s="11"/>
      <c r="J18" s="9">
        <f t="shared" si="1"/>
        <v>48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58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58">
        <v>0</v>
      </c>
      <c r="D20" s="12"/>
      <c r="E20" s="12"/>
      <c r="F20" s="9">
        <f t="shared" si="0"/>
        <v>0</v>
      </c>
      <c r="G20" s="12"/>
      <c r="H20" s="12"/>
      <c r="I20" s="12"/>
      <c r="J20" s="9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58">
        <v>0</v>
      </c>
      <c r="D21" s="11"/>
      <c r="E21" s="11"/>
      <c r="F21" s="9">
        <f t="shared" si="0"/>
        <v>0</v>
      </c>
      <c r="G21" s="11"/>
      <c r="H21" s="11"/>
      <c r="I21" s="11"/>
      <c r="J21" s="9">
        <f t="shared" si="1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58">
        <v>68</v>
      </c>
      <c r="D22" s="11"/>
      <c r="E22" s="11"/>
      <c r="F22" s="9">
        <f t="shared" si="0"/>
        <v>68</v>
      </c>
      <c r="G22" s="11"/>
      <c r="H22" s="11"/>
      <c r="I22" s="11"/>
      <c r="J22" s="9">
        <f t="shared" si="1"/>
        <v>68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58">
        <v>0</v>
      </c>
      <c r="D23" s="11"/>
      <c r="E23" s="11"/>
      <c r="F23" s="9">
        <f t="shared" si="0"/>
        <v>0</v>
      </c>
      <c r="G23" s="11"/>
      <c r="H23" s="11"/>
      <c r="I23" s="11"/>
      <c r="J23" s="9">
        <f t="shared" si="1"/>
        <v>0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58">
        <v>14</v>
      </c>
      <c r="D24" s="11"/>
      <c r="E24" s="11"/>
      <c r="F24" s="9">
        <f t="shared" si="0"/>
        <v>14</v>
      </c>
      <c r="G24" s="11"/>
      <c r="H24" s="11"/>
      <c r="I24" s="11"/>
      <c r="J24" s="9">
        <f t="shared" si="1"/>
        <v>14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58">
        <v>14</v>
      </c>
      <c r="D25" s="11"/>
      <c r="E25" s="11"/>
      <c r="F25" s="9">
        <f t="shared" si="0"/>
        <v>14</v>
      </c>
      <c r="G25" s="11"/>
      <c r="H25" s="11"/>
      <c r="I25" s="11"/>
      <c r="J25" s="9">
        <f t="shared" si="1"/>
        <v>14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58">
        <v>80</v>
      </c>
      <c r="D26" s="11"/>
      <c r="E26" s="11"/>
      <c r="F26" s="9">
        <f t="shared" si="0"/>
        <v>80</v>
      </c>
      <c r="G26" s="11"/>
      <c r="H26" s="11"/>
      <c r="I26" s="11"/>
      <c r="J26" s="9">
        <f t="shared" si="1"/>
        <v>80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58">
        <v>42</v>
      </c>
      <c r="D27" s="11"/>
      <c r="E27" s="11"/>
      <c r="F27" s="9">
        <f t="shared" si="0"/>
        <v>42</v>
      </c>
      <c r="G27" s="11"/>
      <c r="H27" s="11"/>
      <c r="I27" s="11"/>
      <c r="J27" s="9">
        <f t="shared" si="1"/>
        <v>42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58">
        <v>0</v>
      </c>
      <c r="D28" s="11"/>
      <c r="E28" s="11"/>
      <c r="F28" s="9">
        <f t="shared" si="0"/>
        <v>0</v>
      </c>
      <c r="G28" s="11"/>
      <c r="H28" s="11"/>
      <c r="I28" s="11"/>
      <c r="J28" s="9">
        <f t="shared" si="1"/>
        <v>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58">
        <v>97</v>
      </c>
      <c r="D29" s="11"/>
      <c r="E29" s="11"/>
      <c r="F29" s="9">
        <f t="shared" si="0"/>
        <v>97</v>
      </c>
      <c r="G29" s="11"/>
      <c r="H29" s="11"/>
      <c r="I29" s="11"/>
      <c r="J29" s="9">
        <f t="shared" si="1"/>
        <v>97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58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13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58"/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58">
        <v>33</v>
      </c>
      <c r="D32" s="11"/>
      <c r="E32" s="11"/>
      <c r="F32" s="9">
        <f t="shared" si="0"/>
        <v>33</v>
      </c>
      <c r="G32" s="11"/>
      <c r="H32" s="11">
        <v>5</v>
      </c>
      <c r="I32" s="11"/>
      <c r="J32" s="9">
        <f t="shared" si="1"/>
        <v>28</v>
      </c>
      <c r="K32" s="11"/>
    </row>
    <row r="33" spans="1:11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58">
        <v>322</v>
      </c>
      <c r="D33" s="11"/>
      <c r="E33" s="11"/>
      <c r="F33" s="9">
        <f t="shared" si="0"/>
        <v>322</v>
      </c>
      <c r="G33" s="11"/>
      <c r="H33" s="11">
        <v>70</v>
      </c>
      <c r="I33" s="11">
        <v>4</v>
      </c>
      <c r="J33" s="9">
        <f t="shared" si="1"/>
        <v>248</v>
      </c>
      <c r="K33" s="11"/>
    </row>
    <row r="34" spans="1:11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58">
        <v>55</v>
      </c>
      <c r="D34" s="11"/>
      <c r="E34" s="11"/>
      <c r="F34" s="9">
        <f t="shared" si="0"/>
        <v>55</v>
      </c>
      <c r="G34" s="11"/>
      <c r="H34" s="11"/>
      <c r="I34" s="11"/>
      <c r="J34" s="9">
        <f t="shared" si="1"/>
        <v>55</v>
      </c>
      <c r="K34" s="11"/>
    </row>
    <row r="35" spans="1:11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58">
        <v>52</v>
      </c>
      <c r="D35" s="11"/>
      <c r="E35" s="11"/>
      <c r="F35" s="9">
        <f t="shared" si="0"/>
        <v>52</v>
      </c>
      <c r="G35" s="11"/>
      <c r="H35" s="11"/>
      <c r="I35" s="11"/>
      <c r="J35" s="9">
        <f t="shared" si="1"/>
        <v>52</v>
      </c>
      <c r="K35" s="11"/>
    </row>
    <row r="36" spans="1:11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58">
        <v>71</v>
      </c>
      <c r="D36" s="11"/>
      <c r="E36" s="11"/>
      <c r="F36" s="9">
        <f t="shared" si="0"/>
        <v>71</v>
      </c>
      <c r="G36" s="11"/>
      <c r="H36" s="11"/>
      <c r="I36" s="11"/>
      <c r="J36" s="9">
        <f t="shared" si="1"/>
        <v>71</v>
      </c>
      <c r="K36" s="11"/>
    </row>
    <row r="37" spans="1:11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58">
        <v>89</v>
      </c>
      <c r="D37" s="11"/>
      <c r="E37" s="11"/>
      <c r="F37" s="9">
        <f t="shared" si="0"/>
        <v>89</v>
      </c>
      <c r="G37" s="11"/>
      <c r="H37" s="11"/>
      <c r="I37" s="11"/>
      <c r="J37" s="9">
        <f t="shared" si="1"/>
        <v>89</v>
      </c>
      <c r="K37" s="11"/>
    </row>
    <row r="38" spans="1:11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58">
        <v>20</v>
      </c>
      <c r="D38" s="11"/>
      <c r="E38" s="11"/>
      <c r="F38" s="9">
        <f t="shared" si="0"/>
        <v>20</v>
      </c>
      <c r="G38" s="11"/>
      <c r="H38" s="11"/>
      <c r="I38" s="11"/>
      <c r="J38" s="9">
        <f t="shared" si="1"/>
        <v>20</v>
      </c>
      <c r="K38" s="11"/>
    </row>
    <row r="39" spans="1:11" ht="18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54"/>
      <c r="K40" s="17"/>
    </row>
    <row r="41" spans="1:11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18" customHeight="1">
      <c r="A42" s="18" t="s">
        <v>60</v>
      </c>
      <c r="B42" s="18"/>
      <c r="C42" s="18"/>
      <c r="D42" s="18"/>
      <c r="E42" s="18"/>
      <c r="F42" s="18"/>
      <c r="G42" s="18"/>
      <c r="H42" s="19"/>
      <c r="I42" s="18"/>
      <c r="J42" s="18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2"/>
  <sheetViews>
    <sheetView tabSelected="1" workbookViewId="0">
      <selection activeCell="K38" sqref="K38"/>
    </sheetView>
  </sheetViews>
  <sheetFormatPr defaultRowHeight="15"/>
  <cols>
    <col min="1" max="1" width="18.85546875" customWidth="1"/>
    <col min="3" max="3" width="8.5703125" customWidth="1"/>
    <col min="5" max="5" width="8.140625" customWidth="1"/>
    <col min="6" max="6" width="8.42578125" customWidth="1"/>
    <col min="7" max="7" width="8" customWidth="1"/>
    <col min="8" max="8" width="8.5703125" customWidth="1"/>
    <col min="9" max="9" width="8" customWidth="1"/>
    <col min="10" max="10" width="10" bestFit="1" customWidth="1"/>
  </cols>
  <sheetData>
    <row r="1" spans="1:11" ht="27">
      <c r="A1" s="81" t="s">
        <v>14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>
      <c r="A2" s="82" t="s">
        <v>15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ht="18">
      <c r="A3" s="83" t="s">
        <v>16</v>
      </c>
      <c r="B3" s="83"/>
      <c r="C3" s="83"/>
      <c r="D3" s="83"/>
      <c r="E3" s="83"/>
      <c r="F3" s="83"/>
      <c r="G3" s="83"/>
      <c r="H3" s="83"/>
      <c r="I3" s="83"/>
      <c r="J3" s="83"/>
      <c r="K3" s="83"/>
    </row>
    <row r="4" spans="1:11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63</v>
      </c>
    </row>
    <row r="5" spans="1:11" ht="18" customHeight="1">
      <c r="A5" s="8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0" t="s">
        <v>26</v>
      </c>
    </row>
    <row r="6" spans="1:11" ht="18" customHeight="1">
      <c r="A6" s="8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1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79">
        <v>0</v>
      </c>
      <c r="D7" s="9"/>
      <c r="E7" s="9"/>
      <c r="F7" s="9">
        <f t="shared" ref="F7:F9" si="0">C7+D7+E7</f>
        <v>0</v>
      </c>
      <c r="G7" s="9"/>
      <c r="H7" s="9"/>
      <c r="I7" s="9"/>
      <c r="J7" s="9">
        <f>F7-G7-H7-I7</f>
        <v>0</v>
      </c>
      <c r="K7" s="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79">
        <v>80</v>
      </c>
      <c r="D8" s="11"/>
      <c r="E8" s="11"/>
      <c r="F8" s="9">
        <f t="shared" si="0"/>
        <v>80</v>
      </c>
      <c r="G8" s="11"/>
      <c r="H8" s="11"/>
      <c r="I8" s="11"/>
      <c r="J8" s="9">
        <f t="shared" ref="J8:J38" si="1">F8-G8-H8-I8</f>
        <v>80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79">
        <v>80</v>
      </c>
      <c r="D9" s="11"/>
      <c r="E9" s="11"/>
      <c r="F9" s="9">
        <f t="shared" si="0"/>
        <v>80</v>
      </c>
      <c r="G9" s="11"/>
      <c r="H9" s="11"/>
      <c r="I9" s="11"/>
      <c r="J9" s="9">
        <f t="shared" si="1"/>
        <v>80</v>
      </c>
      <c r="K9" s="11"/>
    </row>
    <row r="10" spans="1:11" ht="18" customHeight="1">
      <c r="A10" s="7" t="str">
        <f>'Company Stock '!A11</f>
        <v xml:space="preserve">Aqua Safe Plus </v>
      </c>
      <c r="B10" s="8" t="str">
        <f>'Company Stock '!B11</f>
        <v>5kg</v>
      </c>
      <c r="C10" s="79">
        <v>36</v>
      </c>
      <c r="D10" s="11">
        <v>60</v>
      </c>
      <c r="E10" s="11"/>
      <c r="F10" s="9">
        <f>C10+D10+E10</f>
        <v>96</v>
      </c>
      <c r="G10" s="11"/>
      <c r="H10" s="11">
        <v>32</v>
      </c>
      <c r="I10" s="11"/>
      <c r="J10" s="9">
        <f t="shared" si="1"/>
        <v>64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79">
        <v>0</v>
      </c>
      <c r="D11" s="11"/>
      <c r="E11" s="11"/>
      <c r="F11" s="9">
        <f t="shared" ref="F11:F38" si="2">C11+D11+E11</f>
        <v>0</v>
      </c>
      <c r="G11" s="11"/>
      <c r="H11" s="11"/>
      <c r="I11" s="11"/>
      <c r="J11" s="9">
        <f t="shared" si="1"/>
        <v>0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79">
        <v>108</v>
      </c>
      <c r="D12" s="11">
        <v>150</v>
      </c>
      <c r="E12" s="11"/>
      <c r="F12" s="9">
        <f t="shared" si="2"/>
        <v>258</v>
      </c>
      <c r="G12" s="11"/>
      <c r="H12" s="11">
        <v>45</v>
      </c>
      <c r="I12" s="11"/>
      <c r="J12" s="9">
        <f t="shared" si="1"/>
        <v>213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79">
        <v>70</v>
      </c>
      <c r="D13" s="11"/>
      <c r="E13" s="11"/>
      <c r="F13" s="9">
        <f t="shared" si="2"/>
        <v>70</v>
      </c>
      <c r="G13" s="11"/>
      <c r="H13" s="11"/>
      <c r="I13" s="11"/>
      <c r="J13" s="9">
        <f t="shared" si="1"/>
        <v>70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79">
        <v>151</v>
      </c>
      <c r="D14" s="11"/>
      <c r="E14" s="11"/>
      <c r="F14" s="9">
        <f t="shared" si="2"/>
        <v>151</v>
      </c>
      <c r="G14" s="11"/>
      <c r="H14" s="11">
        <v>32</v>
      </c>
      <c r="I14" s="11"/>
      <c r="J14" s="9">
        <f t="shared" si="1"/>
        <v>119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79">
        <v>48</v>
      </c>
      <c r="D15" s="11"/>
      <c r="E15" s="11"/>
      <c r="F15" s="9">
        <f t="shared" si="2"/>
        <v>48</v>
      </c>
      <c r="G15" s="11"/>
      <c r="H15" s="11"/>
      <c r="I15" s="11"/>
      <c r="J15" s="9">
        <f t="shared" si="1"/>
        <v>48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79">
        <v>35</v>
      </c>
      <c r="D16" s="11"/>
      <c r="E16" s="11"/>
      <c r="F16" s="9">
        <f t="shared" si="2"/>
        <v>35</v>
      </c>
      <c r="G16" s="11"/>
      <c r="H16" s="11"/>
      <c r="I16" s="11"/>
      <c r="J16" s="9">
        <f t="shared" si="1"/>
        <v>35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79">
        <v>120</v>
      </c>
      <c r="D17" s="11">
        <v>150</v>
      </c>
      <c r="E17" s="11"/>
      <c r="F17" s="9">
        <f t="shared" si="2"/>
        <v>270</v>
      </c>
      <c r="G17" s="11"/>
      <c r="H17" s="11">
        <v>60</v>
      </c>
      <c r="I17" s="11"/>
      <c r="J17" s="9">
        <f t="shared" si="1"/>
        <v>210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79">
        <v>96</v>
      </c>
      <c r="D18" s="11"/>
      <c r="E18" s="11"/>
      <c r="F18" s="9">
        <f t="shared" si="2"/>
        <v>96</v>
      </c>
      <c r="G18" s="11"/>
      <c r="H18" s="11"/>
      <c r="I18" s="11"/>
      <c r="J18" s="9">
        <f t="shared" si="1"/>
        <v>96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79">
        <v>0</v>
      </c>
      <c r="D19" s="11"/>
      <c r="E19" s="11"/>
      <c r="F19" s="9">
        <f t="shared" si="2"/>
        <v>0</v>
      </c>
      <c r="G19" s="11"/>
      <c r="H19" s="11"/>
      <c r="I19" s="11"/>
      <c r="J19" s="9">
        <f t="shared" si="1"/>
        <v>0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79">
        <v>0</v>
      </c>
      <c r="D20" s="12"/>
      <c r="E20" s="12"/>
      <c r="F20" s="9">
        <f t="shared" si="2"/>
        <v>0</v>
      </c>
      <c r="G20" s="12"/>
      <c r="H20" s="12"/>
      <c r="I20" s="12"/>
      <c r="J20" s="9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79">
        <v>0</v>
      </c>
      <c r="D21" s="11"/>
      <c r="E21" s="11"/>
      <c r="F21" s="9">
        <f t="shared" si="2"/>
        <v>0</v>
      </c>
      <c r="G21" s="11"/>
      <c r="H21" s="11"/>
      <c r="I21" s="11"/>
      <c r="J21" s="9">
        <f t="shared" si="1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79">
        <v>0</v>
      </c>
      <c r="D22" s="11">
        <v>40</v>
      </c>
      <c r="E22" s="11"/>
      <c r="F22" s="9">
        <f t="shared" si="2"/>
        <v>40</v>
      </c>
      <c r="G22" s="11"/>
      <c r="H22" s="11"/>
      <c r="I22" s="11"/>
      <c r="J22" s="9">
        <f t="shared" si="1"/>
        <v>40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79">
        <v>83</v>
      </c>
      <c r="D23" s="11"/>
      <c r="E23" s="11"/>
      <c r="F23" s="9">
        <f t="shared" si="2"/>
        <v>83</v>
      </c>
      <c r="G23" s="11"/>
      <c r="H23" s="11">
        <v>15</v>
      </c>
      <c r="I23" s="11"/>
      <c r="J23" s="9">
        <f t="shared" si="1"/>
        <v>68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79">
        <v>40</v>
      </c>
      <c r="D24" s="11"/>
      <c r="E24" s="11"/>
      <c r="F24" s="9">
        <f t="shared" si="2"/>
        <v>40</v>
      </c>
      <c r="G24" s="11"/>
      <c r="H24" s="11"/>
      <c r="I24" s="11"/>
      <c r="J24" s="9">
        <f t="shared" si="1"/>
        <v>40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79">
        <v>30</v>
      </c>
      <c r="D25" s="11"/>
      <c r="E25" s="11"/>
      <c r="F25" s="9">
        <f t="shared" si="2"/>
        <v>30</v>
      </c>
      <c r="G25" s="11"/>
      <c r="H25" s="11"/>
      <c r="I25" s="11"/>
      <c r="J25" s="9">
        <f t="shared" si="1"/>
        <v>30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79">
        <v>80</v>
      </c>
      <c r="D26" s="11"/>
      <c r="E26" s="11"/>
      <c r="F26" s="9">
        <f t="shared" si="2"/>
        <v>80</v>
      </c>
      <c r="G26" s="11"/>
      <c r="H26" s="11"/>
      <c r="I26" s="11"/>
      <c r="J26" s="9">
        <f t="shared" si="1"/>
        <v>80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79">
        <v>59</v>
      </c>
      <c r="D27" s="11"/>
      <c r="E27" s="11"/>
      <c r="F27" s="9">
        <f t="shared" si="2"/>
        <v>59</v>
      </c>
      <c r="G27" s="11"/>
      <c r="H27" s="11"/>
      <c r="I27" s="11"/>
      <c r="J27" s="9">
        <f t="shared" si="1"/>
        <v>59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79">
        <v>10</v>
      </c>
      <c r="D28" s="11">
        <v>100</v>
      </c>
      <c r="E28" s="11"/>
      <c r="F28" s="9">
        <f t="shared" si="2"/>
        <v>110</v>
      </c>
      <c r="G28" s="11"/>
      <c r="H28" s="11">
        <v>60</v>
      </c>
      <c r="I28" s="11"/>
      <c r="J28" s="9">
        <f t="shared" si="1"/>
        <v>50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79">
        <v>64</v>
      </c>
      <c r="D29" s="11"/>
      <c r="E29" s="11"/>
      <c r="F29" s="9">
        <f t="shared" si="2"/>
        <v>64</v>
      </c>
      <c r="G29" s="11">
        <v>20</v>
      </c>
      <c r="H29" s="11"/>
      <c r="I29" s="11"/>
      <c r="J29" s="9">
        <f t="shared" si="1"/>
        <v>44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79">
        <v>0</v>
      </c>
      <c r="D30" s="13"/>
      <c r="E30" s="13"/>
      <c r="F30" s="9">
        <f t="shared" si="2"/>
        <v>0</v>
      </c>
      <c r="G30" s="13"/>
      <c r="H30" s="13"/>
      <c r="I30" s="13"/>
      <c r="J30" s="9">
        <f t="shared" si="1"/>
        <v>0</v>
      </c>
      <c r="K30" s="13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79">
        <v>0</v>
      </c>
      <c r="D31" s="13"/>
      <c r="E31" s="13"/>
      <c r="F31" s="9">
        <f t="shared" si="2"/>
        <v>0</v>
      </c>
      <c r="G31" s="13"/>
      <c r="H31" s="13"/>
      <c r="I31" s="13"/>
      <c r="J31" s="9">
        <f t="shared" si="1"/>
        <v>0</v>
      </c>
      <c r="K31" s="13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79">
        <f>75+23</f>
        <v>98</v>
      </c>
      <c r="D32" s="11"/>
      <c r="E32" s="11"/>
      <c r="F32" s="9">
        <f t="shared" si="2"/>
        <v>98</v>
      </c>
      <c r="G32" s="11">
        <v>75</v>
      </c>
      <c r="H32" s="11"/>
      <c r="I32" s="11"/>
      <c r="J32" s="9">
        <f t="shared" si="1"/>
        <v>23</v>
      </c>
      <c r="K32" s="11"/>
    </row>
    <row r="33" spans="1:12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80">
        <f>310+103</f>
        <v>413</v>
      </c>
      <c r="D33" s="11"/>
      <c r="E33" s="11"/>
      <c r="F33" s="9">
        <f t="shared" si="2"/>
        <v>413</v>
      </c>
      <c r="G33" s="11">
        <v>198</v>
      </c>
      <c r="H33" s="11"/>
      <c r="I33" s="11"/>
      <c r="J33" s="9">
        <f t="shared" si="1"/>
        <v>215</v>
      </c>
      <c r="K33" s="11"/>
      <c r="L33" s="21"/>
    </row>
    <row r="34" spans="1:12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80">
        <v>265</v>
      </c>
      <c r="D34" s="11"/>
      <c r="E34" s="11"/>
      <c r="F34" s="9">
        <f t="shared" si="2"/>
        <v>265</v>
      </c>
      <c r="G34" s="11"/>
      <c r="H34" s="11">
        <v>107</v>
      </c>
      <c r="I34" s="11"/>
      <c r="J34" s="9">
        <f t="shared" si="1"/>
        <v>158</v>
      </c>
      <c r="K34" s="11"/>
      <c r="L34" s="21"/>
    </row>
    <row r="35" spans="1:12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79">
        <v>199</v>
      </c>
      <c r="D35" s="11"/>
      <c r="E35" s="11"/>
      <c r="F35" s="9">
        <f t="shared" si="2"/>
        <v>199</v>
      </c>
      <c r="G35" s="11"/>
      <c r="H35" s="11"/>
      <c r="I35" s="11"/>
      <c r="J35" s="9">
        <f t="shared" si="1"/>
        <v>199</v>
      </c>
      <c r="K35" s="11"/>
    </row>
    <row r="36" spans="1:12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79">
        <v>205</v>
      </c>
      <c r="D36" s="11"/>
      <c r="E36" s="11"/>
      <c r="F36" s="9">
        <f t="shared" si="2"/>
        <v>205</v>
      </c>
      <c r="G36" s="11">
        <v>47</v>
      </c>
      <c r="H36" s="11">
        <v>45</v>
      </c>
      <c r="I36" s="11"/>
      <c r="J36" s="9">
        <f t="shared" si="1"/>
        <v>113</v>
      </c>
      <c r="K36" s="11"/>
    </row>
    <row r="37" spans="1:12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79">
        <v>34</v>
      </c>
      <c r="D37" s="11"/>
      <c r="E37" s="11"/>
      <c r="F37" s="9">
        <f t="shared" si="2"/>
        <v>34</v>
      </c>
      <c r="G37" s="11"/>
      <c r="H37" s="11"/>
      <c r="I37" s="11"/>
      <c r="J37" s="9">
        <f t="shared" si="1"/>
        <v>34</v>
      </c>
      <c r="K37" s="11"/>
    </row>
    <row r="38" spans="1:12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79">
        <v>139</v>
      </c>
      <c r="D38" s="11"/>
      <c r="E38" s="11"/>
      <c r="F38" s="9">
        <f t="shared" si="2"/>
        <v>139</v>
      </c>
      <c r="G38" s="11"/>
      <c r="H38" s="11"/>
      <c r="I38" s="11"/>
      <c r="J38" s="9">
        <f t="shared" si="1"/>
        <v>139</v>
      </c>
      <c r="K38" s="11"/>
    </row>
    <row r="39" spans="1:12" ht="18" customHeight="1">
      <c r="A39" s="7"/>
      <c r="B39" s="8"/>
      <c r="C39" s="10"/>
      <c r="D39" s="10"/>
      <c r="E39" s="10"/>
      <c r="F39" s="9"/>
      <c r="G39" s="10"/>
      <c r="H39" s="10"/>
      <c r="I39" s="10"/>
      <c r="J39" s="9"/>
      <c r="K39" s="10"/>
    </row>
    <row r="40" spans="1:12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54"/>
      <c r="K40" s="17"/>
    </row>
    <row r="41" spans="1:12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2" ht="18" customHeight="1">
      <c r="A42" s="18" t="s">
        <v>60</v>
      </c>
      <c r="B42" s="18"/>
      <c r="C42" s="18"/>
      <c r="D42" s="18"/>
      <c r="E42" s="18"/>
      <c r="F42" s="18"/>
      <c r="G42" s="18"/>
      <c r="H42" s="19"/>
      <c r="I42" s="18"/>
      <c r="J42" s="18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" top="0.5" bottom="0.5" header="0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6</vt:i4>
      </vt:variant>
    </vt:vector>
  </HeadingPairs>
  <TitlesOfParts>
    <vt:vector size="6" baseType="lpstr">
      <vt:lpstr>Company Stock </vt:lpstr>
      <vt:lpstr>Cumilla </vt:lpstr>
      <vt:lpstr>Mymensing </vt:lpstr>
      <vt:lpstr>Jessore </vt:lpstr>
      <vt:lpstr>Bogra</vt:lpstr>
      <vt:lpstr>Feni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2026-06-29T10:54:48Z</dcterms:modified>
</cp:coreProperties>
</file>